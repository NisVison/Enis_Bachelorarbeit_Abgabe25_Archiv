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nepe\Documents\GitHub\Enis_Bachelorarbeit_Abgabe25\5. Onlinestudienergebnisse\"/>
    </mc:Choice>
  </mc:AlternateContent>
  <xr:revisionPtr revIDLastSave="0" documentId="8_{2023F6DD-E68A-4D3A-802E-6574E2AC9C94}" xr6:coauthVersionLast="47" xr6:coauthVersionMax="47" xr10:uidLastSave="{00000000-0000-0000-0000-000000000000}"/>
  <bookViews>
    <workbookView xWindow="-120" yWindow="-120" windowWidth="29040" windowHeight="15720" activeTab="1" xr2:uid="{D6CDEE6E-39F7-4E1B-B71C-2132D08414E1}"/>
  </bookViews>
  <sheets>
    <sheet name="Tabelle2" sheetId="4" r:id="rId1"/>
    <sheet name="Auswertung_Umfrage_V2" sheetId="1" r:id="rId2"/>
    <sheet name="utility" sheetId="10"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44" i="1" l="1" a="1"/>
  <c r="AM44" i="1" s="1"/>
  <c r="AO47" i="1" a="1"/>
  <c r="AO47" i="1" s="1"/>
  <c r="AM45" i="1" a="1"/>
  <c r="AM45" i="1" s="1"/>
  <c r="AN47" i="1" a="1"/>
  <c r="AN47" i="1" s="1"/>
  <c r="AM47" i="1" a="1"/>
  <c r="AM47" i="1" s="1"/>
  <c r="AO46" i="1" a="1"/>
  <c r="AO46" i="1" s="1"/>
  <c r="AN46" i="1" a="1"/>
  <c r="AN46" i="1" s="1"/>
  <c r="AM46" i="1" a="1"/>
  <c r="AM46" i="1" s="1"/>
  <c r="AO45" i="1" a="1"/>
  <c r="AO45" i="1" s="1"/>
  <c r="AN45" i="1" a="1"/>
  <c r="AN45" i="1" s="1"/>
  <c r="AO44" i="1" a="1"/>
  <c r="AO44" i="1" s="1"/>
  <c r="AN44" i="1" a="1"/>
  <c r="AN44" i="1" s="1"/>
  <c r="AJ47" i="1" a="1"/>
  <c r="AJ47" i="1" s="1"/>
  <c r="AJ46" i="1" a="1"/>
  <c r="AJ46" i="1" s="1"/>
  <c r="AJ45" i="1" a="1"/>
  <c r="AJ45" i="1" s="1"/>
  <c r="AJ44" i="1" a="1"/>
  <c r="AJ44" i="1" s="1"/>
  <c r="AI47" i="1" a="1"/>
  <c r="AI47" i="1" s="1"/>
  <c r="AI46" i="1" a="1"/>
  <c r="AI46" i="1" s="1"/>
  <c r="AI45" i="1" a="1"/>
  <c r="AI45" i="1" s="1"/>
  <c r="AI44" i="1" a="1"/>
  <c r="AI44" i="1" s="1"/>
  <c r="AH47" i="1" a="1"/>
  <c r="AH47" i="1" s="1"/>
  <c r="AH46" i="1" a="1"/>
  <c r="AH46" i="1" s="1"/>
  <c r="AH45" i="1" a="1"/>
  <c r="AH45" i="1" s="1"/>
  <c r="AH44" i="1" a="1"/>
  <c r="AH44" i="1" s="1"/>
  <c r="J59" i="1" a="1"/>
  <c r="J59" i="1" s="1"/>
  <c r="J58" i="1" a="1"/>
  <c r="J58" i="1" s="1"/>
  <c r="J57" i="1" a="1"/>
  <c r="J57" i="1" s="1"/>
  <c r="J56" i="1" a="1"/>
  <c r="J56" i="1" s="1"/>
  <c r="I59" i="1" a="1"/>
  <c r="I59" i="1" s="1"/>
  <c r="I58" i="1" a="1"/>
  <c r="I58" i="1" s="1"/>
  <c r="I56" i="1" a="1"/>
  <c r="I56" i="1" s="1"/>
  <c r="I57" i="1" a="1"/>
  <c r="I57" i="1" s="1"/>
  <c r="H59" i="1" a="1"/>
  <c r="H59" i="1" s="1"/>
  <c r="H58" i="1" a="1"/>
  <c r="H58" i="1" s="1"/>
  <c r="H57" i="1" a="1"/>
  <c r="H57" i="1" s="1"/>
  <c r="H56" i="1" a="1"/>
  <c r="H56" i="1" s="1"/>
  <c r="AZ31" i="1"/>
  <c r="BA31" i="1" s="1"/>
  <c r="AY31" i="1"/>
  <c r="AZ30" i="1"/>
  <c r="BA30" i="1" s="1"/>
  <c r="AY30" i="1"/>
  <c r="AZ29" i="1"/>
  <c r="BA29" i="1" s="1"/>
  <c r="AY29" i="1"/>
  <c r="I28"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K29" i="1"/>
  <c r="L29" i="1"/>
  <c r="M29" i="1"/>
  <c r="N29" i="1"/>
  <c r="O29" i="1"/>
  <c r="P29" i="1"/>
  <c r="Q29" i="1"/>
  <c r="R29" i="1"/>
  <c r="S29" i="1"/>
  <c r="T29" i="1"/>
  <c r="U29" i="1"/>
  <c r="V29" i="1"/>
  <c r="V36" i="1" s="1"/>
  <c r="W29" i="1"/>
  <c r="X29" i="1"/>
  <c r="Y29" i="1"/>
  <c r="Z29" i="1"/>
  <c r="AA29" i="1"/>
  <c r="AB29" i="1"/>
  <c r="AC29" i="1"/>
  <c r="AD29" i="1"/>
  <c r="AE29" i="1"/>
  <c r="AF29" i="1"/>
  <c r="AG29" i="1"/>
  <c r="AH29" i="1"/>
  <c r="AI29" i="1"/>
  <c r="AJ29" i="1"/>
  <c r="AK29" i="1"/>
  <c r="AL29" i="1"/>
  <c r="AM29" i="1"/>
  <c r="AN29" i="1"/>
  <c r="AO29" i="1"/>
  <c r="AP29" i="1"/>
  <c r="I30" i="1"/>
  <c r="J30" i="1"/>
  <c r="K30" i="1"/>
  <c r="L30" i="1"/>
  <c r="M30" i="1"/>
  <c r="N30" i="1"/>
  <c r="O30" i="1"/>
  <c r="P30" i="1"/>
  <c r="Q30" i="1"/>
  <c r="R30" i="1"/>
  <c r="S30" i="1"/>
  <c r="T30" i="1"/>
  <c r="U30" i="1"/>
  <c r="V30" i="1"/>
  <c r="W30" i="1"/>
  <c r="X30" i="1"/>
  <c r="Z30" i="1"/>
  <c r="AA30" i="1"/>
  <c r="AB30" i="1"/>
  <c r="AC30" i="1"/>
  <c r="AD30" i="1"/>
  <c r="AE30" i="1"/>
  <c r="AF30" i="1"/>
  <c r="AG30" i="1"/>
  <c r="AH30" i="1"/>
  <c r="AI30" i="1"/>
  <c r="AJ30" i="1"/>
  <c r="AK30" i="1"/>
  <c r="AL30" i="1"/>
  <c r="AM30" i="1"/>
  <c r="AN30" i="1"/>
  <c r="AO30" i="1"/>
  <c r="AP30" i="1"/>
  <c r="I31" i="1"/>
  <c r="K31" i="1"/>
  <c r="J49" i="1" s="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I32" i="1"/>
  <c r="J32" i="1"/>
  <c r="J36" i="1" s="1"/>
  <c r="K32" i="1"/>
  <c r="L32" i="1"/>
  <c r="M32" i="1"/>
  <c r="N32" i="1"/>
  <c r="O32" i="1"/>
  <c r="P32" i="1"/>
  <c r="Q32" i="1"/>
  <c r="Q36" i="1" s="1"/>
  <c r="R32" i="1"/>
  <c r="S32" i="1"/>
  <c r="T32" i="1"/>
  <c r="U32" i="1"/>
  <c r="V32" i="1"/>
  <c r="W32" i="1"/>
  <c r="X32" i="1"/>
  <c r="X36" i="1" s="1"/>
  <c r="Y32" i="1"/>
  <c r="Z32" i="1"/>
  <c r="AA32" i="1"/>
  <c r="AB32" i="1"/>
  <c r="AC32" i="1"/>
  <c r="AD32" i="1"/>
  <c r="AE32" i="1"/>
  <c r="AF32" i="1"/>
  <c r="AG32" i="1"/>
  <c r="AH32" i="1"/>
  <c r="AI32" i="1"/>
  <c r="AJ32" i="1"/>
  <c r="AK32" i="1"/>
  <c r="AL32" i="1"/>
  <c r="AM32" i="1"/>
  <c r="AN32" i="1"/>
  <c r="AO32" i="1"/>
  <c r="AP32" i="1"/>
  <c r="I33" i="1"/>
  <c r="K33" i="1"/>
  <c r="L33" i="1"/>
  <c r="M33" i="1"/>
  <c r="N33" i="1"/>
  <c r="O33" i="1"/>
  <c r="P33" i="1"/>
  <c r="Q33" i="1"/>
  <c r="R33" i="1"/>
  <c r="J50" i="1" s="1"/>
  <c r="S33" i="1"/>
  <c r="T33" i="1"/>
  <c r="U33" i="1"/>
  <c r="V33" i="1"/>
  <c r="W33" i="1"/>
  <c r="X33" i="1"/>
  <c r="Y33" i="1"/>
  <c r="Z33" i="1"/>
  <c r="AA33" i="1"/>
  <c r="AB33" i="1"/>
  <c r="AC33" i="1"/>
  <c r="AD33" i="1"/>
  <c r="AE33" i="1"/>
  <c r="AF33" i="1"/>
  <c r="AG33" i="1"/>
  <c r="AH33" i="1"/>
  <c r="AI33" i="1"/>
  <c r="AJ33" i="1"/>
  <c r="AK33" i="1"/>
  <c r="AL33" i="1"/>
  <c r="AM33" i="1"/>
  <c r="AN33" i="1"/>
  <c r="AO33" i="1"/>
  <c r="AP33" i="1"/>
  <c r="I34" i="1"/>
  <c r="J34"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O34" i="1"/>
  <c r="AP34" i="1"/>
  <c r="H29" i="1"/>
  <c r="I42" i="1" s="1"/>
  <c r="H30" i="1"/>
  <c r="H31" i="1"/>
  <c r="H32" i="1"/>
  <c r="H33" i="1"/>
  <c r="H34" i="1"/>
  <c r="H28" i="1"/>
  <c r="H36" i="1" s="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 r="J51" i="1" l="1"/>
  <c r="I43" i="1"/>
  <c r="I49" i="1"/>
  <c r="P36" i="1"/>
  <c r="I50" i="1"/>
  <c r="W36" i="1"/>
  <c r="J44" i="1" s="1"/>
  <c r="K44" i="1" s="1"/>
  <c r="I51" i="1"/>
  <c r="I36" i="1"/>
  <c r="J42" i="1" s="1"/>
  <c r="K42" i="1" s="1"/>
  <c r="O36" i="1"/>
  <c r="J43" i="1" s="1"/>
  <c r="K43" i="1" s="1"/>
  <c r="I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<sst xmlns="http://schemas.openxmlformats.org/spreadsheetml/2006/main" count="1647" uniqueCount="137">
  <si>
    <t>Antwort ID</t>
  </si>
  <si>
    <t>Wie alt sind Sie?</t>
  </si>
  <si>
    <t xml:space="preserve">Wie häufig nutzen Sie 3D-Inhalte oder 3D-Anwendungen? (z. B. 3D-Videospiele, 3D-Animationen in Filmen/Serien)  </t>
  </si>
  <si>
    <t xml:space="preserve">Wie groß ist Ihre Bildschirmgröße, auf der Sie die Studie durchführen?  </t>
  </si>
  <si>
    <t xml:space="preserve">Wie hoch ist ihre Downloadgeschwindigkeit, mit der sie die Szenarien ansehen? </t>
  </si>
  <si>
    <t xml:space="preserve">Hat der Computer/Laptop, mit dem sie die Studie durchführen, eine zusätzliche Grafikkarte (dedizierte Grafikkarte)?  </t>
  </si>
  <si>
    <t xml:space="preserve">Bitte schauen Sie sich jetzt das erste Szenario an, und beantworte danach die folgenden Fragen Sie können jederzeit sich das Szenario nochmal ansehen, um die Fragen besser zu beantworten.   </t>
  </si>
  <si>
    <t>Die Entfernung zwischen dem Menschen im grauen Bereich und der Säule im blauen Bereich würde ich wie folgt einschätzen.  []</t>
  </si>
  <si>
    <t>Wie weit entfernt ist die Säule im grünen Bereich von Ihrer aktuellen Position (aus Ihrer Sicht/POV)?  []</t>
  </si>
  <si>
    <t>Wie weit erscheint ihnen der Abstand der Kiste im grauen Bereich?  []</t>
  </si>
  <si>
    <t>Direkt nach dem Neustart (Reset) des Szenarios: Welches Objekt ist näher an Ihrer Startposition?</t>
  </si>
  <si>
    <t xml:space="preserve">Direkt nach dem Neustart (Reset) des Szenarios: Welches Objekt ist näher an Ihrer Startposition? </t>
  </si>
  <si>
    <t xml:space="preserve">Bitte schauen Sie sich jetzt das Zweite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</si>
  <si>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Dritte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</si>
  <si>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t>
  </si>
  <si>
    <t>Eine eindeutige und deutliche Tiefenwahrnehmung zwischen den Bereichen Grau, Grün und Blau ist klar erkennbar? []</t>
  </si>
  <si>
    <t>Beim Bewegen fallen Verzerrungen oder Verformungen der Umgebung stark auf. []</t>
  </si>
  <si>
    <t>Die räumliche Tiefenwahrnehmung wirkt realistisch. []</t>
  </si>
  <si>
    <t>Nach dem Laden läuft die Szene flüssig und ich habe kein Ruckeln oder ein eingefrorenes Bild. (Latenzen)  []</t>
  </si>
  <si>
    <t>Eine eindeutige und deutliche Tiefenwahrnehmung zwischen den Bereichen Grau, Grün und Blau ist klar erkennbar?  []</t>
  </si>
  <si>
    <t>Beim Bewegen fallen Verzerrungen oder Verformungen der Umgebung stark auf.  []</t>
  </si>
  <si>
    <t>Die räumliche Tiefenwahrnehmung wirkt realistisch.  []</t>
  </si>
  <si>
    <t>A006</t>
  </si>
  <si>
    <t>A002</t>
  </si>
  <si>
    <t>A001</t>
  </si>
  <si>
    <t>A005</t>
  </si>
  <si>
    <t>A004</t>
  </si>
  <si>
    <t>A003</t>
  </si>
  <si>
    <t>A007</t>
  </si>
  <si>
    <t>Allgemeine Fragen</t>
  </si>
  <si>
    <t>Szenario 1_P1</t>
  </si>
  <si>
    <t>Szenario 2_P1</t>
  </si>
  <si>
    <t>Szenario 3_P1</t>
  </si>
  <si>
    <t>Szenario 1_P2</t>
  </si>
  <si>
    <t>Szenario 2_P2</t>
  </si>
  <si>
    <t>Szenario 3_P2</t>
  </si>
  <si>
    <t>Mittelwert M</t>
  </si>
  <si>
    <t>Wert übersetzt</t>
  </si>
  <si>
    <t xml:space="preserve">5 = 0-5m </t>
  </si>
  <si>
    <t>4 = 5-10m</t>
  </si>
  <si>
    <t>5 = 0-5m</t>
  </si>
  <si>
    <t>1 = Kiste Bett</t>
  </si>
  <si>
    <t>4 = Gleich</t>
  </si>
  <si>
    <t>2 = Säule GA</t>
  </si>
  <si>
    <t>3 = 10-15m</t>
  </si>
  <si>
    <t>5 = Schild Gelb</t>
  </si>
  <si>
    <t>4 = Ente Gelb</t>
  </si>
  <si>
    <t>4 = Kiste Grau</t>
  </si>
  <si>
    <t>1 = 20-25m</t>
  </si>
  <si>
    <t>4= 5-10m</t>
  </si>
  <si>
    <t>4 =Kiste Bett</t>
  </si>
  <si>
    <t>4 = Haustür</t>
  </si>
  <si>
    <t>5 = Säule GA</t>
  </si>
  <si>
    <t>Ground-Truth</t>
  </si>
  <si>
    <t>Wert für menschen</t>
  </si>
  <si>
    <t>3 = 10-15</t>
  </si>
  <si>
    <t>1 = Haustür</t>
  </si>
  <si>
    <t>18,45 m</t>
  </si>
  <si>
    <t>13,3934 m</t>
  </si>
  <si>
    <t>4,5821m</t>
  </si>
  <si>
    <t>Schild Gelb</t>
  </si>
  <si>
    <t>gelbe Ente</t>
  </si>
  <si>
    <t>Gleich nah</t>
  </si>
  <si>
    <t>Kiste Bett</t>
  </si>
  <si>
    <t>Haustür</t>
  </si>
  <si>
    <t>Zeilenbeschriftungen</t>
  </si>
  <si>
    <t>Gesamtergebnis</t>
  </si>
  <si>
    <t>Anzahl von Die Entfernung zwischen dem Menschen im grauen Bereich und der Säule im blauen Bereich würde ich wie folgt einschätzen.  []</t>
  </si>
  <si>
    <t>Direkt nach dem Neustart (Reset) des Szenarios: Welches Objekt ist näher an Ihrer Startposition?2</t>
  </si>
  <si>
    <t>Anzahl von Wie weit entfernt ist die Säule im grünen Bereich von Ihrer aktuellen Position (aus Ihrer Sicht/POV)?  []</t>
  </si>
  <si>
    <t>Anzahl von Wie weit erscheint ihnen der Abstand der Kiste im grauen Bereich?  []</t>
  </si>
  <si>
    <t>Anzahl von Direkt nach dem Neustart (Reset) des Szenarios: Welches Objekt ist näher an Ihrer Startposition?</t>
  </si>
  <si>
    <t xml:space="preserve"> </t>
  </si>
  <si>
    <t>13-24" Zoll</t>
  </si>
  <si>
    <t>50-100 Mbit/s</t>
  </si>
  <si>
    <t>Ja, eine Grafikkarte ist vorhanden.</t>
  </si>
  <si>
    <t>0 - 5 m</t>
  </si>
  <si>
    <t>5-10m</t>
  </si>
  <si>
    <t>0-5m</t>
  </si>
  <si>
    <t>Die Kiste vor dem Bett im Holzraum</t>
  </si>
  <si>
    <t>Die Objekte sind gleich nah</t>
  </si>
  <si>
    <t>Die Säule im grauen Bereich</t>
  </si>
  <si>
    <t>10-15m</t>
  </si>
  <si>
    <t>Das gelbe Schild im weißen Raum</t>
  </si>
  <si>
    <t>Die fässer auf der terasse vom Haus</t>
  </si>
  <si>
    <t>Die Kiste im grauen Bereich</t>
  </si>
  <si>
    <t>20-25m</t>
  </si>
  <si>
    <t>Die Haustür vom Haus</t>
  </si>
  <si>
    <t>250 Mbit/s oder mehr </t>
  </si>
  <si>
    <t>Nein, ich habe keine.</t>
  </si>
  <si>
    <t>15 - 20 m</t>
  </si>
  <si>
    <t> Die Säule im grauen Bereich</t>
  </si>
  <si>
    <t>Größer als 24" Zoll</t>
  </si>
  <si>
    <t>10 - 15 m</t>
  </si>
  <si>
    <t>20 - 25 m</t>
  </si>
  <si>
    <t> Die Objekte sind gleich nah</t>
  </si>
  <si>
    <t>16-50 Mbit/s</t>
  </si>
  <si>
    <t>15-20m</t>
  </si>
  <si>
    <t>100-250 Mbit/s </t>
  </si>
  <si>
    <t>5-10 m</t>
  </si>
  <si>
    <t>Die gelbe Ente im Pavillon</t>
  </si>
  <si>
    <t> Die gelbe Ente im Pavillon</t>
  </si>
  <si>
    <t>Weiß ich nicht. </t>
  </si>
  <si>
    <t>Ich weiß es nicht</t>
  </si>
  <si>
    <t>Zu ungenau / Unsicher</t>
  </si>
  <si>
    <t>Weiß ich nicht</t>
  </si>
  <si>
    <t>Ja ich hab das szenario gesehen und weiter</t>
  </si>
  <si>
    <t xml:space="preserve">2 = 15-20 m </t>
  </si>
  <si>
    <t>Ergebnisse: Metrische Fragen</t>
  </si>
  <si>
    <t>Szenario</t>
  </si>
  <si>
    <t>Phase</t>
  </si>
  <si>
    <t>Anteil GT-Klasse</t>
  </si>
  <si>
    <t>Streuung</t>
  </si>
  <si>
    <t>S1</t>
  </si>
  <si>
    <t>S2</t>
  </si>
  <si>
    <t>S3</t>
  </si>
  <si>
    <t>P1</t>
  </si>
  <si>
    <t>Anteil GT +/-1</t>
  </si>
  <si>
    <t>Ergebnisse: Relativ Schätzung</t>
  </si>
  <si>
    <t>Korrekte Ordnung</t>
  </si>
  <si>
    <t>Falsche Ordnung</t>
  </si>
  <si>
    <t>Unsicher</t>
  </si>
  <si>
    <t>2= Säule im Grauen</t>
  </si>
  <si>
    <t>Die Säule im Grauen</t>
  </si>
  <si>
    <t>Median</t>
  </si>
  <si>
    <t>Hauptanteil</t>
  </si>
  <si>
    <t>Fragen</t>
  </si>
  <si>
    <t>Tiefenwahrnehmung klar erkennbar</t>
  </si>
  <si>
    <t>Verzerrungen beim Bewegen</t>
  </si>
  <si>
    <t>Tiefenwirkung realistisch</t>
  </si>
  <si>
    <t>Ergebnisse: Subjektive S1_P2</t>
  </si>
  <si>
    <t>Szene läuft flüssig</t>
  </si>
  <si>
    <t>Spalte1</t>
  </si>
  <si>
    <t>Spalte2</t>
  </si>
  <si>
    <t>Spalte3</t>
  </si>
  <si>
    <t>Ergebnisse: Subjektive S2_P2</t>
  </si>
  <si>
    <t>Ergebnisse: Subjektive S3_P2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</si>
</sst>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8080"/>
        <bgColor indexed="64"/>
      </patternFill>
    </fill>
    <fill>
      <patternFill patternType="solid">
        <fgColor rgb="FF6699FF"/>
        <bgColor indexed="64"/>
      </patternFill>
    </fill>
    <fill>
      <patternFill patternType="solid">
        <fgColor theme="1"/>
        <bgColor indexed="64"/>
      </patternFill>
    </fill>
    <fill>
      <patternFill patternType="solid">
        <fgColor rgb="FF99FF99"/>
        <bgColor indexed="64"/>
      </patternFill>
    </fill>
    <fill>
      <patternFill patternType="solid">
        <fgColor rgb="FFFFC000"/>
        <bgColor indexed="64"/>
      </patternFill>
    </fill>
    <fill>
      <patternFill patternType="solid">
        <fgColor theme="9" tint="0.79998168889431442"/>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34" borderId="10" xfId="0" applyFill="1" applyBorder="1"/>
    <xf numFmtId="0" fontId="0" fillId="34" borderId="11" xfId="0" applyFill="1" applyBorder="1"/>
    <xf numFmtId="0" fontId="0" fillId="35" borderId="11" xfId="0" applyFill="1" applyBorder="1"/>
    <xf numFmtId="0" fontId="0" fillId="34" borderId="12" xfId="0" applyFill="1" applyBorder="1"/>
    <xf numFmtId="0" fontId="0" fillId="36" borderId="13" xfId="0" applyFill="1" applyBorder="1"/>
    <xf numFmtId="0" fontId="0" fillId="36" borderId="14" xfId="0" applyFill="1" applyBorder="1"/>
    <xf numFmtId="0" fontId="0" fillId="35" borderId="14" xfId="0" applyFill="1" applyBorder="1"/>
    <xf numFmtId="0" fontId="0" fillId="36" borderId="15" xfId="0" applyFill="1" applyBorder="1"/>
    <xf numFmtId="0" fontId="0" fillId="37" borderId="10" xfId="0" applyFill="1" applyBorder="1"/>
    <xf numFmtId="0" fontId="0" fillId="37" borderId="11" xfId="0" applyFill="1" applyBorder="1"/>
    <xf numFmtId="0" fontId="0" fillId="37" borderId="12" xfId="0" applyFill="1" applyBorder="1"/>
    <xf numFmtId="0" fontId="0" fillId="35" borderId="0" xfId="0" applyFill="1"/>
    <xf numFmtId="0" fontId="0" fillId="33" borderId="19" xfId="0" applyFill="1" applyBorder="1"/>
    <xf numFmtId="0" fontId="0" fillId="33" borderId="20" xfId="0" applyFill="1" applyBorder="1"/>
    <xf numFmtId="0" fontId="0" fillId="33" borderId="21" xfId="0" applyFill="1" applyBorder="1"/>
    <xf numFmtId="0" fontId="0" fillId="0" borderId="22" xfId="0" applyBorder="1"/>
    <xf numFmtId="0" fontId="0" fillId="35" borderId="23" xfId="0" applyFill="1" applyBorder="1"/>
    <xf numFmtId="0" fontId="0" fillId="38" borderId="0" xfId="0" applyFill="1"/>
    <xf numFmtId="0" fontId="0" fillId="34" borderId="25" xfId="0" applyFill="1" applyBorder="1"/>
    <xf numFmtId="0" fontId="0" fillId="38" borderId="24" xfId="0" applyFill="1" applyBorder="1"/>
    <xf numFmtId="0" fontId="0" fillId="0" borderId="24" xfId="0" applyBorder="1"/>
    <xf numFmtId="0" fontId="0" fillId="0" borderId="26" xfId="0" applyBorder="1"/>
    <xf numFmtId="0" fontId="0" fillId="38" borderId="14" xfId="0" applyFill="1" applyBorder="1"/>
    <xf numFmtId="0" fontId="0" fillId="0" borderId="14" xfId="0" applyBorder="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0" fillId="37" borderId="16" xfId="0" applyFill="1" applyBorder="1"/>
    <xf numFmtId="0" fontId="0" fillId="37" borderId="17" xfId="0" applyFill="1" applyBorder="1"/>
    <xf numFmtId="0" fontId="0" fillId="37" borderId="18" xfId="0" applyFill="1" applyBorder="1"/>
    <xf numFmtId="0" fontId="0" fillId="37" borderId="0" xfId="0" applyFill="1"/>
    <xf numFmtId="0" fontId="16" fillId="0" borderId="0" xfId="0" applyFont="1"/>
    <xf numFmtId="0" fontId="0" fillId="0" borderId="27" xfId="0" applyBorder="1"/>
    <xf numFmtId="0" fontId="0" fillId="0" borderId="28" xfId="0" applyBorder="1"/>
    <xf numFmtId="0" fontId="0" fillId="0" borderId="29" xfId="0" applyBorder="1"/>
    <xf numFmtId="0" fontId="0" fillId="0" borderId="23" xfId="0" applyBorder="1"/>
    <xf numFmtId="0" fontId="0" fillId="0" borderId="19" xfId="0" applyBorder="1"/>
    <xf numFmtId="0" fontId="0" fillId="0" borderId="20" xfId="0" applyBorder="1"/>
    <xf numFmtId="9" fontId="0" fillId="0" borderId="20" xfId="1" applyFont="1" applyBorder="1"/>
    <xf numFmtId="10" fontId="0" fillId="0" borderId="20" xfId="0" applyNumberFormat="1" applyBorder="1"/>
    <xf numFmtId="10" fontId="0" fillId="0" borderId="21" xfId="0" applyNumberFormat="1" applyBorder="1"/>
    <xf numFmtId="0" fontId="0" fillId="0" borderId="30" xfId="0" applyBorder="1"/>
    <xf numFmtId="9" fontId="0" fillId="0" borderId="0" xfId="1" applyFont="1" applyBorder="1"/>
    <xf numFmtId="10" fontId="0" fillId="0" borderId="26" xfId="0" applyNumberFormat="1" applyBorder="1"/>
    <xf numFmtId="9" fontId="0" fillId="0" borderId="23" xfId="1" applyFont="1" applyBorder="1"/>
    <xf numFmtId="10" fontId="0" fillId="0" borderId="31" xfId="0" applyNumberFormat="1" applyBorder="1"/>
    <xf numFmtId="9" fontId="0" fillId="0" borderId="26" xfId="0" applyNumberFormat="1" applyBorder="1"/>
    <xf numFmtId="9" fontId="0" fillId="0" borderId="21" xfId="1" applyFont="1" applyBorder="1"/>
    <xf numFmtId="9" fontId="0" fillId="0" borderId="31" xfId="1" applyFont="1" applyBorder="1"/>
    <xf numFmtId="0" fontId="0" fillId="0" borderId="32" xfId="0" applyBorder="1"/>
    <xf numFmtId="0" fontId="0" fillId="0" borderId="33" xfId="0" applyBorder="1"/>
    <xf numFmtId="0" fontId="0" fillId="0" borderId="25" xfId="0" applyBorder="1"/>
    <xf numFmtId="0" fontId="0" fillId="0" borderId="13" xfId="0" applyBorder="1"/>
    <xf numFmtId="9" fontId="0" fillId="0" borderId="0" xfId="0" applyNumberFormat="1"/>
    <xf numFmtId="2" fontId="0" fillId="0" borderId="25" xfId="1" applyNumberFormat="1" applyFont="1" applyBorder="1"/>
    <xf numFmtId="2" fontId="0" fillId="0" borderId="34" xfId="1" applyNumberFormat="1" applyFont="1" applyBorder="1"/>
    <xf numFmtId="0" fontId="0" fillId="0" borderId="35" xfId="0" applyBorder="1"/>
    <xf numFmtId="0" fontId="16" fillId="0" borderId="27" xfId="0" applyFont="1" applyBorder="1"/>
  </cellXfs>
  <cellStyles count="43">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Neutral" xfId="9" builtinId="28" customBuiltin="1"/>
    <cellStyle name="Notiz" xfId="16" builtinId="10" customBuiltin="1"/>
    <cellStyle name="Prozent" xfId="1" builtinId="5"/>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25">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bottom style="medium">
          <color indexed="64"/>
        </bottom>
      </border>
    </dxf>
    <dxf>
      <border diagonalUp="0" diagonalDown="0">
        <left/>
        <right/>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s Inep" refreshedDate="46011.843983333332" createdVersion="8" refreshedVersion="8" minRefreshableVersion="3" recordCount="21" xr:uid="{81525D92-C602-4638-8904-B376D5E090B0}">
  <cacheSource type="worksheet">
    <worksheetSource name="Tabelle3"/>
  </cacheSource>
  <cacheFields count="6">
    <cacheField name="Die Entfernung zwischen dem Menschen im grauen Bereich und der Säule im blauen Bereich würde ich wie folgt einschätzen.  []" numFmtId="0">
      <sharedItems count="5">
        <s v="A005"/>
        <s v="A002"/>
        <s v="A003"/>
        <s v="A001"/>
        <s v="A004"/>
      </sharedItems>
    </cacheField>
    <cacheField name="Wie weit entfernt ist die Säule im grünen Bereich von Ihrer aktuellen Position (aus Ihrer Sicht/POV)?  []" numFmtId="0">
      <sharedItems count="4">
        <s v="A004"/>
        <s v="A001"/>
        <s v="A003"/>
        <s v="A005"/>
      </sharedItems>
    </cacheField>
    <cacheField name="Wie weit erscheint ihnen der Abstand der Kiste im grauen Bereich?  []" numFmtId="0">
      <sharedItems count="2">
        <s v="A005"/>
        <s v="A003"/>
      </sharedItems>
    </cacheField>
    <cacheField name="Direkt nach dem Neustart (Reset) des Szenarios: Welches Objekt ist näher an Ihrer Startposition?" numFmtId="0">
      <sharedItems count="2">
        <s v="A001"/>
        <s v="A004"/>
      </sharedItems>
    </cacheField>
    <cacheField name="Direkt nach dem Neustart (Reset) des Szenarios: Welches Objekt ist näher an Ihrer Startposition? " numFmtId="0">
      <sharedItems count="3">
        <s v="A004"/>
        <s v="A001"/>
        <s v="A002"/>
      </sharedItems>
    </cacheField>
    <cacheField name="Direkt nach dem Neustart (Reset) des Szenarios: Welches Objekt ist näher an Ihrer Startposition?2" numFmtId="0">
      <sharedItems count="2">
        <s v="A002"/>
        <s v="A00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x v="0"/>
    <x v="0"/>
  </r>
  <r>
    <x v="1"/>
    <x v="0"/>
    <x v="0"/>
    <x v="0"/>
    <x v="0"/>
    <x v="0"/>
  </r>
  <r>
    <x v="2"/>
    <x v="0"/>
    <x v="0"/>
    <x v="0"/>
    <x v="1"/>
    <x v="0"/>
  </r>
  <r>
    <x v="3"/>
    <x v="1"/>
    <x v="0"/>
    <x v="0"/>
    <x v="1"/>
    <x v="0"/>
  </r>
  <r>
    <x v="2"/>
    <x v="0"/>
    <x v="0"/>
    <x v="0"/>
    <x v="1"/>
    <x v="1"/>
  </r>
  <r>
    <x v="3"/>
    <x v="2"/>
    <x v="0"/>
    <x v="0"/>
    <x v="0"/>
    <x v="0"/>
  </r>
  <r>
    <x v="4"/>
    <x v="3"/>
    <x v="0"/>
    <x v="0"/>
    <x v="2"/>
    <x v="0"/>
  </r>
  <r>
    <x v="4"/>
    <x v="3"/>
    <x v="0"/>
    <x v="0"/>
    <x v="1"/>
    <x v="0"/>
  </r>
  <r>
    <x v="2"/>
    <x v="2"/>
    <x v="0"/>
    <x v="0"/>
    <x v="0"/>
    <x v="0"/>
  </r>
  <r>
    <x v="2"/>
    <x v="0"/>
    <x v="0"/>
    <x v="0"/>
    <x v="1"/>
    <x v="0"/>
  </r>
  <r>
    <x v="4"/>
    <x v="2"/>
    <x v="0"/>
    <x v="0"/>
    <x v="1"/>
    <x v="1"/>
  </r>
  <r>
    <x v="4"/>
    <x v="3"/>
    <x v="0"/>
    <x v="0"/>
    <x v="1"/>
    <x v="0"/>
  </r>
  <r>
    <x v="2"/>
    <x v="3"/>
    <x v="0"/>
    <x v="0"/>
    <x v="1"/>
    <x v="0"/>
  </r>
  <r>
    <x v="2"/>
    <x v="0"/>
    <x v="0"/>
    <x v="0"/>
    <x v="1"/>
    <x v="0"/>
  </r>
  <r>
    <x v="1"/>
    <x v="2"/>
    <x v="0"/>
    <x v="0"/>
    <x v="1"/>
    <x v="0"/>
  </r>
  <r>
    <x v="1"/>
    <x v="2"/>
    <x v="0"/>
    <x v="0"/>
    <x v="1"/>
    <x v="0"/>
  </r>
  <r>
    <x v="4"/>
    <x v="3"/>
    <x v="1"/>
    <x v="0"/>
    <x v="0"/>
    <x v="0"/>
  </r>
  <r>
    <x v="2"/>
    <x v="0"/>
    <x v="0"/>
    <x v="0"/>
    <x v="1"/>
    <x v="0"/>
  </r>
  <r>
    <x v="1"/>
    <x v="0"/>
    <x v="0"/>
    <x v="0"/>
    <x v="1"/>
    <x v="0"/>
  </r>
  <r>
    <x v="2"/>
    <x v="0"/>
    <x v="0"/>
    <x v="0"/>
    <x v="1"/>
    <x v="0"/>
  </r>
  <r>
    <x v="1"/>
    <x v="3"/>
    <x v="0"/>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681331-C36D-4022-9D11-528B876295DE}" name="PivotTable6"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2:B17"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16">
      <pivotArea outline="0" collapsedLevelsAreSubtotals="1" fieldPosition="0"/>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5201F2-30E0-4F55-9ABD-384260906925}" name="PivotTable5"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9" firstHeaderRow="1" firstDataRow="1" firstDataCol="1"/>
  <pivotFields count="6">
    <pivotField axis="axisRow" dataField="1"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0"/>
  </rowFields>
  <rowItems count="6">
    <i>
      <x/>
    </i>
    <i>
      <x v="1"/>
    </i>
    <i>
      <x v="2"/>
    </i>
    <i>
      <x v="3"/>
    </i>
    <i>
      <x v="4"/>
    </i>
    <i t="grand">
      <x/>
    </i>
  </rowItems>
  <colItems count="1">
    <i/>
  </colItems>
  <dataFields count="1">
    <dataField name="Anzahl von Die Entfernung zwischen dem Menschen im grauen Bereich und der Säule im blauen Bereich würde ich wie folgt einschätzen.  []" fld="0" subtotal="count" showDataAs="percentOfTotal" baseField="0" baseItem="0" numFmtId="10"/>
  </dataFields>
  <formats count="2">
    <format dxfId="18">
      <pivotArea outline="0" collapsedLevelsAreSubtotals="1" fieldPosition="0"/>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6F0BCE-2FE9-487A-B611-80AB19505BFF}" name="PivotTable1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9:B34"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20">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676D5-6D07-4823-B730-D7BD9E8BBF55}" name="PivotTable1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4:B27"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axis="axisRow" dataField="1" showAll="0">
      <items count="3">
        <item x="0"/>
        <item x="1"/>
        <item t="default"/>
      </items>
    </pivotField>
    <pivotField showAll="0">
      <items count="4">
        <item x="1"/>
        <item x="2"/>
        <item x="0"/>
        <item t="default"/>
      </items>
    </pivotField>
    <pivotField showAll="0">
      <items count="3">
        <item x="0"/>
        <item x="1"/>
        <item t="default"/>
      </items>
    </pivotField>
  </pivotFields>
  <rowFields count="1">
    <field x="3"/>
  </rowFields>
  <rowItems count="3">
    <i>
      <x/>
    </i>
    <i>
      <x v="1"/>
    </i>
    <i t="grand">
      <x/>
    </i>
  </rowItems>
  <colItems count="1">
    <i/>
  </colItems>
  <dataFields count="1">
    <dataField name="Anzahl von Direkt nach dem Neustart (Reset) des Szenarios: Welches Objekt ist näher an Ihrer Startposition?" fld="3" subtotal="count" showDataAs="percentOfTotal" baseField="3"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B827A9-48E4-4E1B-9922-5385AD33F812}" name="PivotTable10"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9:B22"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axis="axisRow" dataField="1"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2"/>
  </rowFields>
  <rowItems count="3">
    <i>
      <x/>
    </i>
    <i>
      <x v="1"/>
    </i>
    <i t="grand">
      <x/>
    </i>
  </rowItems>
  <colItems count="1">
    <i/>
  </colItems>
  <dataFields count="1">
    <dataField name="Anzahl von Wie weit erscheint ihnen der Abstand der Kiste im grauen Bereich?  []" fld="2" subtotal="count" showDataAs="percentOfTotal" baseField="2" baseItem="0" numFmtId="10"/>
  </dataFields>
  <formats count="2">
    <format dxfId="24">
      <pivotArea outline="0" collapsedLevelsAreSubtotals="1" fieldPosition="0"/>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A909DA-E5AB-4EBA-A10B-D4C4DBAFE15E}" name="Tabelle3" displayName="Tabelle3" ref="H2:M23" totalsRowShown="0" tableBorderDxfId="14">
  <autoFilter ref="H2:M23" xr:uid="{A5A909DA-E5AB-4EBA-A10B-D4C4DBAFE15E}"/>
  <tableColumns count="6">
    <tableColumn id="1" xr3:uid="{229ED778-69E5-4535-A1AC-7322BC2D7473}" name="Die Entfernung zwischen dem Menschen im grauen Bereich und der Säule im blauen Bereich würde ich wie folgt einschätzen.  []" dataDxfId="13"/>
    <tableColumn id="2" xr3:uid="{22099EB0-B0E9-45D0-B7E7-A7A1E98D6E96}" name="Wie weit entfernt ist die Säule im grünen Bereich von Ihrer aktuellen Position (aus Ihrer Sicht/POV)?  []" dataDxfId="12"/>
    <tableColumn id="3" xr3:uid="{482617A5-F15C-44BD-A630-5D741FA2A0F6}" name="Wie weit erscheint ihnen der Abstand der Kiste im grauen Bereich?  []" dataDxfId="11"/>
    <tableColumn id="4" xr3:uid="{3E634CAC-A327-412E-A70E-63C817A6FD23}" name="Direkt nach dem Neustart (Reset) des Szenarios: Welches Objekt ist näher an Ihrer Startposition?" dataDxfId="10"/>
    <tableColumn id="5" xr3:uid="{FD485CC6-61BB-47C9-BEE7-F313EFF8F2D2}" name="Direkt nach dem Neustart (Reset) des Szenarios: Welches Objekt ist näher an Ihrer Startposition? " dataDxfId="9"/>
    <tableColumn id="6" xr3:uid="{11A1110F-0C25-46C3-ADE6-A783533F4E5B}" name="Direkt nach dem Neustart (Reset) des Szenarios: Welches Objekt ist näher an Ihrer Startposition?2"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FBCCF2-431C-4046-B56C-C726D58BC4C8}" name="Tabelle1" displayName="Tabelle1" ref="G54:J59" totalsRowShown="0" headerRowDxfId="7" headerRowBorderDxfId="6" tableBorderDxfId="5">
  <autoFilter ref="G54:J59" xr:uid="{A3FBCCF2-431C-4046-B56C-C726D58BC4C8}"/>
  <tableColumns count="4">
    <tableColumn id="1" xr3:uid="{593FEBDC-E1D3-4CE8-9C43-CFA23CC53EA2}" name="Ergebnisse: Subjektive S1_P2"/>
    <tableColumn id="2" xr3:uid="{D749A954-8995-4B62-B1B2-CFDFA7DDD4D1}" name="Spalte1" dataDxfId="4"/>
    <tableColumn id="3" xr3:uid="{2209E4B6-5CA7-4352-89FD-44B3D7AA439C}" name="Spalte2"/>
    <tableColumn id="4" xr3:uid="{B4C9362D-F05E-4E19-BF80-CD2960944C9E}" name="Spalte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41B4F1-2916-48DC-B0F3-5844869DE3A7}" name="Tabelle13" displayName="Tabelle13" ref="AG42:AJ47" totalsRowShown="0" tableBorderDxfId="3">
  <autoFilter ref="AG42:AJ47" xr:uid="{1641B4F1-2916-48DC-B0F3-5844869DE3A7}"/>
  <tableColumns count="4">
    <tableColumn id="1" xr3:uid="{84E6B3EA-D8FF-4E63-8601-009969BD06F8}" name="Ergebnisse: Subjektive S2_P2"/>
    <tableColumn id="2" xr3:uid="{142285CB-B196-4E07-9892-0D3E12C67E79}" name="Spalte1" dataDxfId="2"/>
    <tableColumn id="3" xr3:uid="{B36CC01C-D84E-4CEF-962C-489B8F882D71}" name="Spalte2"/>
    <tableColumn id="4" xr3:uid="{4962F55E-41E5-4851-8C2F-24065CDFE1A3}" name="Spal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BB63B7-D8E2-4795-8490-1ED23E74D934}" name="Tabelle135" displayName="Tabelle135" ref="AL42:AO47" totalsRowShown="0" tableBorderDxfId="1">
  <autoFilter ref="AL42:AO47" xr:uid="{9ABB63B7-D8E2-4795-8490-1ED23E74D934}"/>
  <tableColumns count="4">
    <tableColumn id="1" xr3:uid="{96F8B4F8-516A-40A6-98AD-45F91B655983}" name="Ergebnisse: Subjektive S3_P2"/>
    <tableColumn id="2" xr3:uid="{AA474F3A-BD57-454D-849C-6D96DFF93F16}" name="Spalte1" dataDxfId="0"/>
    <tableColumn id="3" xr3:uid="{B987D5EA-8E28-40A0-9F95-82851C49F05A}" name="Spalte2"/>
    <tableColumn id="4" xr3:uid="{23F198A5-A0CE-4173-A5BC-DDC7864A47AF}" name="Spalte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13E8-D629-4CE7-98CA-FCCA87D1EDD9}">
  <dimension ref="A1:F34"/>
  <sheetViews>
    <sheetView workbookViewId="0">
      <selection activeCell="C30" sqref="C30:C33"/>
    </sheetView>
  </sheetViews>
  <sheetFormatPr baseColWidth="10" defaultRowHeight="15" x14ac:dyDescent="0.25"/>
  <cols>
    <col min="1" max="1" width="22.7109375" bestFit="1" customWidth="1"/>
    <col min="2" max="3" width="105" bestFit="1" customWidth="1"/>
    <col min="4" max="4" width="74.42578125" bestFit="1" customWidth="1"/>
    <col min="5" max="5" width="5.140625" bestFit="1" customWidth="1"/>
    <col min="6" max="7" width="15.85546875" bestFit="1" customWidth="1"/>
    <col min="8" max="8" width="13.42578125" bestFit="1" customWidth="1"/>
    <col min="9" max="9" width="7" bestFit="1" customWidth="1"/>
    <col min="10" max="11" width="5.42578125" bestFit="1" customWidth="1"/>
    <col min="12" max="12" width="13.42578125" bestFit="1" customWidth="1"/>
    <col min="13" max="13" width="7" bestFit="1" customWidth="1"/>
    <col min="14" max="15" width="5.42578125" bestFit="1" customWidth="1"/>
    <col min="16" max="16" width="13.42578125" bestFit="1" customWidth="1"/>
    <col min="17" max="17" width="15.85546875" bestFit="1" customWidth="1"/>
    <col min="18" max="18" width="7" bestFit="1" customWidth="1"/>
    <col min="19" max="20" width="13.42578125" bestFit="1" customWidth="1"/>
    <col min="21" max="21" width="7" bestFit="1" customWidth="1"/>
    <col min="22" max="22" width="13.42578125" bestFit="1" customWidth="1"/>
    <col min="23" max="23" width="7" bestFit="1" customWidth="1"/>
    <col min="24" max="24" width="13.42578125" bestFit="1" customWidth="1"/>
    <col min="25" max="25" width="7" bestFit="1" customWidth="1"/>
    <col min="26" max="26" width="5.42578125" bestFit="1" customWidth="1"/>
    <col min="27" max="28" width="13.42578125" bestFit="1" customWidth="1"/>
    <col min="29" max="29" width="15.85546875" bestFit="1" customWidth="1"/>
    <col min="30" max="31" width="13.42578125" bestFit="1" customWidth="1"/>
    <col min="32" max="32" width="7" bestFit="1" customWidth="1"/>
    <col min="33" max="34" width="13.42578125" bestFit="1" customWidth="1"/>
    <col min="35" max="35" width="7" bestFit="1" customWidth="1"/>
    <col min="36" max="36" width="13.42578125" bestFit="1" customWidth="1"/>
    <col min="37" max="37" width="7" bestFit="1" customWidth="1"/>
    <col min="38" max="40" width="13.42578125" bestFit="1" customWidth="1"/>
    <col min="41" max="41" width="15.85546875" bestFit="1" customWidth="1"/>
    <col min="42" max="42" width="7" bestFit="1" customWidth="1"/>
    <col min="43" max="45" width="13.42578125" bestFit="1" customWidth="1"/>
    <col min="46" max="46" width="7" bestFit="1" customWidth="1"/>
    <col min="47" max="48" width="13.42578125" bestFit="1" customWidth="1"/>
    <col min="49" max="49" width="7" bestFit="1" customWidth="1"/>
    <col min="50" max="50" width="5.42578125" bestFit="1" customWidth="1"/>
    <col min="51" max="54" width="13.42578125" bestFit="1" customWidth="1"/>
    <col min="55" max="55" width="15.85546875" bestFit="1" customWidth="1"/>
    <col min="56" max="57" width="13.42578125" bestFit="1" customWidth="1"/>
    <col min="58" max="58" width="7" bestFit="1" customWidth="1"/>
    <col min="59" max="61" width="13.42578125" bestFit="1" customWidth="1"/>
    <col min="62" max="62" width="7" bestFit="1" customWidth="1"/>
    <col min="63" max="63" width="13.42578125" bestFit="1" customWidth="1"/>
    <col min="64" max="64" width="7" bestFit="1" customWidth="1"/>
    <col min="65" max="69" width="13.42578125" bestFit="1" customWidth="1"/>
    <col min="70" max="70" width="15.85546875" bestFit="1" customWidth="1"/>
  </cols>
  <sheetData>
    <row r="1" spans="1:6" x14ac:dyDescent="0.25">
      <c r="F1" t="s">
        <v>72</v>
      </c>
    </row>
    <row r="3" spans="1:6" x14ac:dyDescent="0.25">
      <c r="A3" s="25" t="s">
        <v>65</v>
      </c>
      <c r="B3" t="s">
        <v>67</v>
      </c>
    </row>
    <row r="4" spans="1:6" x14ac:dyDescent="0.25">
      <c r="A4" s="26" t="s">
        <v>24</v>
      </c>
      <c r="B4" s="27">
        <v>9.5238095238095233E-2</v>
      </c>
    </row>
    <row r="5" spans="1:6" x14ac:dyDescent="0.25">
      <c r="A5" s="26" t="s">
        <v>23</v>
      </c>
      <c r="B5" s="27">
        <v>0.23809523809523808</v>
      </c>
    </row>
    <row r="6" spans="1:6" x14ac:dyDescent="0.25">
      <c r="A6" s="26" t="s">
        <v>27</v>
      </c>
      <c r="B6" s="27">
        <v>0.38095238095238093</v>
      </c>
    </row>
    <row r="7" spans="1:6" x14ac:dyDescent="0.25">
      <c r="A7" s="26" t="s">
        <v>26</v>
      </c>
      <c r="B7" s="27">
        <v>0.23809523809523808</v>
      </c>
    </row>
    <row r="8" spans="1:6" x14ac:dyDescent="0.25">
      <c r="A8" s="26" t="s">
        <v>25</v>
      </c>
      <c r="B8" s="27">
        <v>4.7619047619047616E-2</v>
      </c>
    </row>
    <row r="9" spans="1:6" x14ac:dyDescent="0.25">
      <c r="A9" s="26" t="s">
        <v>66</v>
      </c>
      <c r="B9" s="27">
        <v>1</v>
      </c>
    </row>
    <row r="12" spans="1:6" x14ac:dyDescent="0.25">
      <c r="A12" s="25" t="s">
        <v>65</v>
      </c>
      <c r="B12" t="s">
        <v>69</v>
      </c>
    </row>
    <row r="13" spans="1:6" x14ac:dyDescent="0.25">
      <c r="A13" s="26" t="s">
        <v>24</v>
      </c>
      <c r="B13" s="27">
        <v>4.7619047619047616E-2</v>
      </c>
    </row>
    <row r="14" spans="1:6" x14ac:dyDescent="0.25">
      <c r="A14" s="26" t="s">
        <v>27</v>
      </c>
      <c r="B14" s="27">
        <v>0.23809523809523808</v>
      </c>
    </row>
    <row r="15" spans="1:6" x14ac:dyDescent="0.25">
      <c r="A15" s="26" t="s">
        <v>26</v>
      </c>
      <c r="B15" s="27">
        <v>0.42857142857142855</v>
      </c>
    </row>
    <row r="16" spans="1:6" x14ac:dyDescent="0.25">
      <c r="A16" s="26" t="s">
        <v>25</v>
      </c>
      <c r="B16" s="27">
        <v>0.2857142857142857</v>
      </c>
    </row>
    <row r="17" spans="1:2" x14ac:dyDescent="0.25">
      <c r="A17" s="26" t="s">
        <v>66</v>
      </c>
      <c r="B17" s="27">
        <v>1</v>
      </c>
    </row>
    <row r="19" spans="1:2" x14ac:dyDescent="0.25">
      <c r="A19" s="25" t="s">
        <v>65</v>
      </c>
      <c r="B19" t="s">
        <v>70</v>
      </c>
    </row>
    <row r="20" spans="1:2" x14ac:dyDescent="0.25">
      <c r="A20" s="26" t="s">
        <v>27</v>
      </c>
      <c r="B20" s="27">
        <v>4.7619047619047616E-2</v>
      </c>
    </row>
    <row r="21" spans="1:2" x14ac:dyDescent="0.25">
      <c r="A21" s="26" t="s">
        <v>25</v>
      </c>
      <c r="B21" s="27">
        <v>0.95238095238095233</v>
      </c>
    </row>
    <row r="22" spans="1:2" x14ac:dyDescent="0.25">
      <c r="A22" s="26" t="s">
        <v>66</v>
      </c>
      <c r="B22" s="27">
        <v>1</v>
      </c>
    </row>
    <row r="24" spans="1:2" x14ac:dyDescent="0.25">
      <c r="A24" s="25" t="s">
        <v>65</v>
      </c>
      <c r="B24" t="s">
        <v>71</v>
      </c>
    </row>
    <row r="25" spans="1:2" x14ac:dyDescent="0.25">
      <c r="A25" s="26" t="s">
        <v>24</v>
      </c>
      <c r="B25" s="27">
        <v>0.95238095238095233</v>
      </c>
    </row>
    <row r="26" spans="1:2" x14ac:dyDescent="0.25">
      <c r="A26" s="26" t="s">
        <v>26</v>
      </c>
      <c r="B26" s="27">
        <v>4.7619047619047616E-2</v>
      </c>
    </row>
    <row r="27" spans="1:2" x14ac:dyDescent="0.25">
      <c r="A27" s="26" t="s">
        <v>66</v>
      </c>
      <c r="B27" s="27">
        <v>1</v>
      </c>
    </row>
    <row r="29" spans="1:2" x14ac:dyDescent="0.25">
      <c r="A29" s="25" t="s">
        <v>65</v>
      </c>
      <c r="B29" t="s">
        <v>69</v>
      </c>
    </row>
    <row r="30" spans="1:2" x14ac:dyDescent="0.25">
      <c r="A30" s="26" t="s">
        <v>24</v>
      </c>
      <c r="B30" s="27">
        <v>4.7619047619047616E-2</v>
      </c>
    </row>
    <row r="31" spans="1:2" x14ac:dyDescent="0.25">
      <c r="A31" s="26" t="s">
        <v>27</v>
      </c>
      <c r="B31" s="27">
        <v>0.23809523809523808</v>
      </c>
    </row>
    <row r="32" spans="1:2" x14ac:dyDescent="0.25">
      <c r="A32" s="26" t="s">
        <v>26</v>
      </c>
      <c r="B32" s="27">
        <v>0.42857142857142855</v>
      </c>
    </row>
    <row r="33" spans="1:2" x14ac:dyDescent="0.25">
      <c r="A33" s="26" t="s">
        <v>25</v>
      </c>
      <c r="B33" s="27">
        <v>0.2857142857142857</v>
      </c>
    </row>
    <row r="34" spans="1:2" x14ac:dyDescent="0.25">
      <c r="A34" s="26" t="s">
        <v>66</v>
      </c>
      <c r="B34" s="27">
        <v>1</v>
      </c>
    </row>
  </sheetData>
  <pageMargins left="0.7" right="0.7" top="0.78740157499999996" bottom="0.78740157499999996"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6005-3295-428B-8738-C001A68EB6F5}">
  <dimension ref="A1:BA59"/>
  <sheetViews>
    <sheetView tabSelected="1" zoomScale="85" zoomScaleNormal="85" workbookViewId="0">
      <selection activeCell="G54" sqref="G54:J59"/>
    </sheetView>
  </sheetViews>
  <sheetFormatPr baseColWidth="10" defaultRowHeight="15" x14ac:dyDescent="0.25"/>
  <cols>
    <col min="1" max="1" width="18" customWidth="1"/>
    <col min="4" max="4" width="11.42578125" customWidth="1"/>
    <col min="7" max="7" width="32.140625" customWidth="1"/>
    <col min="8" max="8" width="13" customWidth="1"/>
    <col min="9" max="9" width="17.5703125" customWidth="1"/>
    <col min="10" max="10" width="14.28515625" customWidth="1"/>
    <col min="11" max="11" width="13.140625" customWidth="1"/>
    <col min="12" max="12" width="16.140625" customWidth="1"/>
    <col min="13" max="13" width="14.140625" customWidth="1"/>
    <col min="14" max="14" width="7.42578125" customWidth="1"/>
    <col min="15" max="15" width="7.7109375" customWidth="1"/>
    <col min="16" max="16" width="7.42578125" customWidth="1"/>
    <col min="17" max="17" width="7.28515625" customWidth="1"/>
    <col min="18" max="18" width="12.85546875" customWidth="1"/>
    <col min="19" max="20" width="12.7109375" customWidth="1"/>
    <col min="21" max="21" width="6" customWidth="1"/>
    <col min="22" max="22" width="15.140625" customWidth="1"/>
    <col min="23" max="23" width="15.7109375" customWidth="1"/>
    <col min="24" max="24" width="13.28515625" customWidth="1"/>
    <col min="25" max="25" width="15.7109375" customWidth="1"/>
    <col min="26" max="26" width="15.5703125" customWidth="1"/>
    <col min="27" max="27" width="18.85546875" customWidth="1"/>
    <col min="28" max="28" width="8.42578125" customWidth="1"/>
    <col min="33" max="33" width="30" customWidth="1"/>
    <col min="38" max="38" width="30.7109375" customWidth="1"/>
  </cols>
  <sheetData>
    <row r="1" spans="1:42" x14ac:dyDescent="0.25">
      <c r="A1" s="13"/>
      <c r="B1" s="14" t="s">
        <v>29</v>
      </c>
      <c r="C1" s="14"/>
      <c r="D1" s="14"/>
      <c r="E1" s="14"/>
      <c r="F1" s="14"/>
      <c r="G1" s="14" t="s">
        <v>30</v>
      </c>
      <c r="H1" s="14"/>
      <c r="I1" s="14"/>
      <c r="J1" s="14"/>
      <c r="K1" s="14"/>
      <c r="L1" s="14"/>
      <c r="M1" s="14"/>
      <c r="N1" s="14" t="s">
        <v>31</v>
      </c>
      <c r="O1" s="14"/>
      <c r="P1" s="14"/>
      <c r="Q1" s="14"/>
      <c r="R1" s="14"/>
      <c r="S1" s="14"/>
      <c r="T1" s="14"/>
      <c r="U1" s="14" t="s">
        <v>32</v>
      </c>
      <c r="V1" s="14"/>
      <c r="W1" s="14"/>
      <c r="X1" s="14"/>
      <c r="Y1" s="14"/>
      <c r="Z1" s="14"/>
      <c r="AA1" s="14"/>
      <c r="AB1" s="14" t="s">
        <v>33</v>
      </c>
      <c r="AC1" s="14"/>
      <c r="AD1" s="14"/>
      <c r="AE1" s="14"/>
      <c r="AF1" s="14"/>
      <c r="AG1" s="14" t="s">
        <v>34</v>
      </c>
      <c r="AH1" s="14"/>
      <c r="AI1" s="14"/>
      <c r="AJ1" s="14"/>
      <c r="AK1" s="14"/>
      <c r="AL1" s="14" t="s">
        <v>35</v>
      </c>
      <c r="AM1" s="14"/>
      <c r="AN1" s="14"/>
      <c r="AO1" s="14"/>
      <c r="AP1" s="15"/>
    </row>
    <row r="2" spans="1:42" ht="15.75" thickBot="1" x14ac:dyDescent="0.3">
      <c r="A2" s="16" t="s">
        <v>0</v>
      </c>
      <c r="B2" s="18" t="s">
        <v>1</v>
      </c>
      <c r="C2" s="18" t="s">
        <v>2</v>
      </c>
      <c r="D2" s="18" t="s">
        <v>3</v>
      </c>
      <c r="E2" s="18" t="s">
        <v>4</v>
      </c>
      <c r="F2" s="18" t="s">
        <v>5</v>
      </c>
      <c r="G2" s="17" t="s">
        <v>6</v>
      </c>
      <c r="H2" t="s">
        <v>7</v>
      </c>
      <c r="I2" t="s">
        <v>8</v>
      </c>
      <c r="J2" t="s">
        <v>9</v>
      </c>
      <c r="K2" t="s">
        <v>10</v>
      </c>
      <c r="L2" t="s">
        <v>11</v>
      </c>
      <c r="M2" t="s">
        <v>68</v>
      </c>
      <c r="N2" s="17" t="s">
        <v>12</v>
      </c>
      <c r="O2" t="s">
        <v>7</v>
      </c>
      <c r="P2" t="s">
        <v>8</v>
      </c>
      <c r="Q2" t="s">
        <v>9</v>
      </c>
      <c r="R2" t="s">
        <v>11</v>
      </c>
      <c r="S2" t="s">
        <v>11</v>
      </c>
      <c r="T2" t="s">
        <v>10</v>
      </c>
      <c r="U2" s="17" t="s">
        <v>13</v>
      </c>
      <c r="V2" t="s">
        <v>7</v>
      </c>
      <c r="W2" t="s">
        <v>8</v>
      </c>
      <c r="X2" t="s">
        <v>9</v>
      </c>
      <c r="Y2" t="s">
        <v>10</v>
      </c>
      <c r="Z2" t="s">
        <v>11</v>
      </c>
      <c r="AA2" t="s">
        <v>10</v>
      </c>
      <c r="AB2" s="17" t="s">
        <v>14</v>
      </c>
      <c r="AC2" t="s">
        <v>15</v>
      </c>
      <c r="AD2" t="s">
        <v>16</v>
      </c>
      <c r="AE2" t="s">
        <v>17</v>
      </c>
      <c r="AF2" t="s">
        <v>18</v>
      </c>
      <c r="AG2" s="17" t="s">
        <v>14</v>
      </c>
      <c r="AH2" t="s">
        <v>19</v>
      </c>
      <c r="AI2" t="s">
        <v>20</v>
      </c>
      <c r="AJ2" t="s">
        <v>21</v>
      </c>
      <c r="AK2" t="s">
        <v>18</v>
      </c>
      <c r="AL2" s="17" t="s">
        <v>14</v>
      </c>
      <c r="AM2" t="s">
        <v>19</v>
      </c>
      <c r="AN2" t="s">
        <v>20</v>
      </c>
      <c r="AO2" t="s">
        <v>21</v>
      </c>
      <c r="AP2" s="22" t="s">
        <v>18</v>
      </c>
    </row>
    <row r="3" spans="1:42" x14ac:dyDescent="0.25">
      <c r="A3">
        <v>5</v>
      </c>
      <c r="B3" s="20">
        <v>28</v>
      </c>
      <c r="C3" s="20">
        <v>4</v>
      </c>
      <c r="D3" s="20" t="s">
        <v>22</v>
      </c>
      <c r="E3" s="20" t="s">
        <v>23</v>
      </c>
      <c r="F3" s="20" t="s">
        <v>24</v>
      </c>
      <c r="G3" s="12" t="s">
        <v>24</v>
      </c>
      <c r="H3" s="21" t="s">
        <v>25</v>
      </c>
      <c r="I3" s="21" t="s">
        <v>26</v>
      </c>
      <c r="J3" s="21" t="s">
        <v>25</v>
      </c>
      <c r="K3" s="21" t="s">
        <v>24</v>
      </c>
      <c r="L3" s="21" t="s">
        <v>26</v>
      </c>
      <c r="M3" s="21" t="s">
        <v>23</v>
      </c>
      <c r="N3" s="12" t="s">
        <v>24</v>
      </c>
      <c r="O3" s="21" t="s">
        <v>27</v>
      </c>
      <c r="P3" s="21" t="s">
        <v>26</v>
      </c>
      <c r="Q3" s="21" t="s">
        <v>25</v>
      </c>
      <c r="R3" s="21" t="s">
        <v>25</v>
      </c>
      <c r="S3" s="21" t="s">
        <v>26</v>
      </c>
      <c r="T3" s="21" t="s">
        <v>26</v>
      </c>
      <c r="U3" s="12" t="s">
        <v>24</v>
      </c>
      <c r="V3" s="21" t="s">
        <v>24</v>
      </c>
      <c r="W3" s="21" t="s">
        <v>27</v>
      </c>
      <c r="X3" s="21" t="s">
        <v>26</v>
      </c>
      <c r="Y3" s="21" t="s">
        <v>26</v>
      </c>
      <c r="Z3" s="21" t="s">
        <v>26</v>
      </c>
      <c r="AA3" s="21" t="s">
        <v>25</v>
      </c>
      <c r="AB3" s="12" t="s">
        <v>24</v>
      </c>
      <c r="AC3" s="21" t="s">
        <v>27</v>
      </c>
      <c r="AD3" s="21" t="s">
        <v>25</v>
      </c>
      <c r="AE3" s="21" t="s">
        <v>23</v>
      </c>
      <c r="AF3" s="21" t="s">
        <v>22</v>
      </c>
      <c r="AG3" s="12" t="s">
        <v>24</v>
      </c>
      <c r="AH3" s="21" t="s">
        <v>25</v>
      </c>
      <c r="AI3" s="21" t="s">
        <v>27</v>
      </c>
      <c r="AJ3" s="21" t="s">
        <v>26</v>
      </c>
      <c r="AK3" s="21" t="s">
        <v>28</v>
      </c>
      <c r="AL3" s="12" t="s">
        <v>24</v>
      </c>
      <c r="AM3" s="21" t="s">
        <v>25</v>
      </c>
      <c r="AN3" s="21" t="s">
        <v>25</v>
      </c>
      <c r="AO3" s="21" t="s">
        <v>25</v>
      </c>
      <c r="AP3" s="21" t="s">
        <v>26</v>
      </c>
    </row>
    <row r="4" spans="1:42" x14ac:dyDescent="0.25">
      <c r="A4">
        <v>7</v>
      </c>
      <c r="B4" s="20">
        <v>26</v>
      </c>
      <c r="C4" s="20">
        <v>2</v>
      </c>
      <c r="D4" s="20" t="s">
        <v>22</v>
      </c>
      <c r="E4" s="20" t="s">
        <v>26</v>
      </c>
      <c r="F4" s="20" t="s">
        <v>23</v>
      </c>
      <c r="G4" s="12" t="s">
        <v>24</v>
      </c>
      <c r="H4" s="21" t="s">
        <v>23</v>
      </c>
      <c r="I4" s="21" t="s">
        <v>26</v>
      </c>
      <c r="J4" s="21" t="s">
        <v>25</v>
      </c>
      <c r="K4" s="21" t="s">
        <v>24</v>
      </c>
      <c r="L4" s="21" t="s">
        <v>26</v>
      </c>
      <c r="M4" s="21" t="s">
        <v>23</v>
      </c>
      <c r="N4" s="12" t="s">
        <v>24</v>
      </c>
      <c r="O4" s="21" t="s">
        <v>27</v>
      </c>
      <c r="P4" s="21" t="s">
        <v>26</v>
      </c>
      <c r="Q4" s="21" t="s">
        <v>25</v>
      </c>
      <c r="R4" s="21" t="s">
        <v>22</v>
      </c>
      <c r="S4" s="21" t="s">
        <v>22</v>
      </c>
      <c r="T4" s="21" t="s">
        <v>25</v>
      </c>
      <c r="U4" s="12" t="s">
        <v>24</v>
      </c>
      <c r="V4" s="21" t="s">
        <v>27</v>
      </c>
      <c r="W4" s="21" t="s">
        <v>26</v>
      </c>
      <c r="X4" s="21" t="s">
        <v>25</v>
      </c>
      <c r="Y4" s="21" t="s">
        <v>26</v>
      </c>
      <c r="Z4" s="21" t="s">
        <v>22</v>
      </c>
      <c r="AA4" s="21" t="s">
        <v>25</v>
      </c>
      <c r="AB4" s="12" t="s">
        <v>24</v>
      </c>
      <c r="AC4" s="21" t="s">
        <v>22</v>
      </c>
      <c r="AD4" s="21" t="s">
        <v>28</v>
      </c>
      <c r="AE4" s="21" t="s">
        <v>26</v>
      </c>
      <c r="AF4" s="21" t="s">
        <v>28</v>
      </c>
      <c r="AG4" s="12" t="s">
        <v>24</v>
      </c>
      <c r="AH4" s="21" t="s">
        <v>28</v>
      </c>
      <c r="AI4" s="21" t="s">
        <v>24</v>
      </c>
      <c r="AJ4" s="21" t="s">
        <v>22</v>
      </c>
      <c r="AK4" s="21" t="s">
        <v>28</v>
      </c>
      <c r="AL4" s="12" t="s">
        <v>24</v>
      </c>
      <c r="AM4" s="21" t="s">
        <v>28</v>
      </c>
      <c r="AN4" s="21" t="s">
        <v>24</v>
      </c>
      <c r="AO4" s="21" t="s">
        <v>22</v>
      </c>
      <c r="AP4" s="21" t="s">
        <v>28</v>
      </c>
    </row>
    <row r="5" spans="1:42" x14ac:dyDescent="0.25">
      <c r="A5">
        <v>8</v>
      </c>
      <c r="B5" s="20">
        <v>26</v>
      </c>
      <c r="C5" s="20">
        <v>4</v>
      </c>
      <c r="D5" s="20" t="s">
        <v>28</v>
      </c>
      <c r="E5" s="20" t="s">
        <v>23</v>
      </c>
      <c r="F5" s="20" t="s">
        <v>24</v>
      </c>
      <c r="G5" s="12" t="s">
        <v>24</v>
      </c>
      <c r="H5" s="21" t="s">
        <v>27</v>
      </c>
      <c r="I5" s="21" t="s">
        <v>26</v>
      </c>
      <c r="J5" s="21" t="s">
        <v>25</v>
      </c>
      <c r="K5" s="21" t="s">
        <v>24</v>
      </c>
      <c r="L5" s="21" t="s">
        <v>24</v>
      </c>
      <c r="M5" s="21" t="s">
        <v>23</v>
      </c>
      <c r="N5" s="12" t="s">
        <v>24</v>
      </c>
      <c r="O5" s="21" t="s">
        <v>27</v>
      </c>
      <c r="P5" s="21" t="s">
        <v>27</v>
      </c>
      <c r="Q5" s="21" t="s">
        <v>25</v>
      </c>
      <c r="R5" s="21" t="s">
        <v>25</v>
      </c>
      <c r="S5" s="21" t="s">
        <v>22</v>
      </c>
      <c r="T5" s="21" t="s">
        <v>25</v>
      </c>
      <c r="U5" s="12" t="s">
        <v>24</v>
      </c>
      <c r="V5" s="21" t="s">
        <v>27</v>
      </c>
      <c r="W5" s="21" t="s">
        <v>26</v>
      </c>
      <c r="X5" s="21" t="s">
        <v>25</v>
      </c>
      <c r="Y5" s="21" t="s">
        <v>26</v>
      </c>
      <c r="Z5" s="21" t="s">
        <v>22</v>
      </c>
      <c r="AA5" s="21" t="s">
        <v>25</v>
      </c>
      <c r="AB5" s="12" t="s">
        <v>24</v>
      </c>
      <c r="AC5" s="21" t="s">
        <v>28</v>
      </c>
      <c r="AD5" s="21" t="s">
        <v>23</v>
      </c>
      <c r="AE5" s="21" t="s">
        <v>22</v>
      </c>
      <c r="AF5" s="21" t="s">
        <v>28</v>
      </c>
      <c r="AG5" s="12" t="s">
        <v>24</v>
      </c>
      <c r="AH5" s="21" t="s">
        <v>28</v>
      </c>
      <c r="AI5" s="21" t="s">
        <v>23</v>
      </c>
      <c r="AJ5" s="21" t="s">
        <v>26</v>
      </c>
      <c r="AK5" s="21" t="s">
        <v>28</v>
      </c>
      <c r="AL5" s="12" t="s">
        <v>24</v>
      </c>
      <c r="AM5" s="21" t="s">
        <v>28</v>
      </c>
      <c r="AN5" s="21" t="s">
        <v>23</v>
      </c>
      <c r="AO5" s="21" t="s">
        <v>22</v>
      </c>
      <c r="AP5" s="21" t="s">
        <v>28</v>
      </c>
    </row>
    <row r="6" spans="1:42" x14ac:dyDescent="0.25">
      <c r="A6">
        <v>9</v>
      </c>
      <c r="B6" s="20">
        <v>25</v>
      </c>
      <c r="C6" s="20">
        <v>3</v>
      </c>
      <c r="D6" s="20" t="s">
        <v>28</v>
      </c>
      <c r="E6" s="20" t="s">
        <v>23</v>
      </c>
      <c r="F6" s="20" t="s">
        <v>24</v>
      </c>
      <c r="G6" s="12" t="s">
        <v>24</v>
      </c>
      <c r="H6" s="21" t="s">
        <v>24</v>
      </c>
      <c r="I6" s="21" t="s">
        <v>24</v>
      </c>
      <c r="J6" s="21" t="s">
        <v>25</v>
      </c>
      <c r="K6" s="21" t="s">
        <v>24</v>
      </c>
      <c r="L6" s="21" t="s">
        <v>24</v>
      </c>
      <c r="M6" s="21" t="s">
        <v>23</v>
      </c>
      <c r="N6" s="12" t="s">
        <v>24</v>
      </c>
      <c r="O6" s="21" t="s">
        <v>27</v>
      </c>
      <c r="P6" s="21" t="s">
        <v>26</v>
      </c>
      <c r="Q6" s="21" t="s">
        <v>25</v>
      </c>
      <c r="R6" s="21" t="s">
        <v>22</v>
      </c>
      <c r="S6" s="21" t="s">
        <v>26</v>
      </c>
      <c r="T6" s="21" t="s">
        <v>22</v>
      </c>
      <c r="U6" s="12" t="s">
        <v>24</v>
      </c>
      <c r="V6" s="21" t="s">
        <v>25</v>
      </c>
      <c r="W6" s="21" t="s">
        <v>26</v>
      </c>
      <c r="X6" s="21" t="s">
        <v>25</v>
      </c>
      <c r="Y6" s="21" t="s">
        <v>26</v>
      </c>
      <c r="Z6" s="21" t="s">
        <v>22</v>
      </c>
      <c r="AA6" s="21" t="s">
        <v>25</v>
      </c>
      <c r="AB6" s="12" t="s">
        <v>24</v>
      </c>
      <c r="AC6" s="21" t="s">
        <v>22</v>
      </c>
      <c r="AD6" s="21" t="s">
        <v>25</v>
      </c>
      <c r="AE6" s="21" t="s">
        <v>24</v>
      </c>
      <c r="AF6" s="21" t="s">
        <v>24</v>
      </c>
      <c r="AG6" s="12" t="s">
        <v>24</v>
      </c>
      <c r="AH6" s="21" t="s">
        <v>26</v>
      </c>
      <c r="AI6" s="21" t="s">
        <v>24</v>
      </c>
      <c r="AJ6" s="21" t="s">
        <v>24</v>
      </c>
      <c r="AK6" s="21" t="s">
        <v>24</v>
      </c>
      <c r="AL6" s="12" t="s">
        <v>24</v>
      </c>
      <c r="AM6" s="21" t="s">
        <v>28</v>
      </c>
      <c r="AN6" s="21" t="s">
        <v>28</v>
      </c>
      <c r="AO6" s="21" t="s">
        <v>27</v>
      </c>
      <c r="AP6" s="21" t="s">
        <v>28</v>
      </c>
    </row>
    <row r="7" spans="1:42" x14ac:dyDescent="0.25">
      <c r="A7">
        <v>11</v>
      </c>
      <c r="B7" s="20">
        <v>27</v>
      </c>
      <c r="C7" s="20">
        <v>4</v>
      </c>
      <c r="D7" s="20" t="s">
        <v>28</v>
      </c>
      <c r="E7" s="20" t="s">
        <v>24</v>
      </c>
      <c r="F7" s="20" t="s">
        <v>24</v>
      </c>
      <c r="G7" s="12" t="s">
        <v>24</v>
      </c>
      <c r="H7" s="21" t="s">
        <v>27</v>
      </c>
      <c r="I7" s="21" t="s">
        <v>26</v>
      </c>
      <c r="J7" s="21" t="s">
        <v>25</v>
      </c>
      <c r="K7" s="21" t="s">
        <v>24</v>
      </c>
      <c r="L7" s="21" t="s">
        <v>24</v>
      </c>
      <c r="M7" s="21" t="s">
        <v>26</v>
      </c>
      <c r="N7" s="12" t="s">
        <v>24</v>
      </c>
      <c r="O7" s="21" t="s">
        <v>27</v>
      </c>
      <c r="P7" s="21" t="s">
        <v>26</v>
      </c>
      <c r="Q7" s="21" t="s">
        <v>25</v>
      </c>
      <c r="R7" s="21" t="s">
        <v>25</v>
      </c>
      <c r="S7" s="21" t="s">
        <v>22</v>
      </c>
      <c r="T7" s="21" t="s">
        <v>25</v>
      </c>
      <c r="U7" s="12" t="s">
        <v>24</v>
      </c>
      <c r="V7" s="21" t="s">
        <v>27</v>
      </c>
      <c r="W7" s="21" t="s">
        <v>26</v>
      </c>
      <c r="X7" s="21" t="s">
        <v>25</v>
      </c>
      <c r="Y7" s="21" t="s">
        <v>26</v>
      </c>
      <c r="Z7" s="21" t="s">
        <v>26</v>
      </c>
      <c r="AA7" s="21" t="s">
        <v>22</v>
      </c>
      <c r="AB7" s="12" t="s">
        <v>24</v>
      </c>
      <c r="AC7" s="21" t="s">
        <v>25</v>
      </c>
      <c r="AD7" s="21" t="s">
        <v>24</v>
      </c>
      <c r="AE7" s="21" t="s">
        <v>23</v>
      </c>
      <c r="AF7" s="21" t="s">
        <v>28</v>
      </c>
      <c r="AG7" s="12" t="s">
        <v>24</v>
      </c>
      <c r="AH7" s="21" t="s">
        <v>25</v>
      </c>
      <c r="AI7" s="21" t="s">
        <v>26</v>
      </c>
      <c r="AJ7" s="21" t="s">
        <v>23</v>
      </c>
      <c r="AK7" s="21" t="s">
        <v>22</v>
      </c>
      <c r="AL7" s="12" t="s">
        <v>24</v>
      </c>
      <c r="AM7" s="21" t="s">
        <v>25</v>
      </c>
      <c r="AN7" s="21" t="s">
        <v>24</v>
      </c>
      <c r="AO7" s="21" t="s">
        <v>23</v>
      </c>
      <c r="AP7" s="21" t="s">
        <v>26</v>
      </c>
    </row>
    <row r="8" spans="1:42" x14ac:dyDescent="0.25">
      <c r="A8">
        <v>12</v>
      </c>
      <c r="B8" s="20">
        <v>28</v>
      </c>
      <c r="C8" s="20">
        <v>1</v>
      </c>
      <c r="D8" s="20" t="s">
        <v>22</v>
      </c>
      <c r="E8" s="20" t="s">
        <v>24</v>
      </c>
      <c r="F8" s="20" t="s">
        <v>23</v>
      </c>
      <c r="G8" s="12" t="s">
        <v>24</v>
      </c>
      <c r="H8" s="21" t="s">
        <v>24</v>
      </c>
      <c r="I8" s="21" t="s">
        <v>27</v>
      </c>
      <c r="J8" s="21" t="s">
        <v>25</v>
      </c>
      <c r="K8" s="21" t="s">
        <v>24</v>
      </c>
      <c r="L8" s="21" t="s">
        <v>26</v>
      </c>
      <c r="M8" s="21" t="s">
        <v>23</v>
      </c>
      <c r="N8" s="12" t="s">
        <v>24</v>
      </c>
      <c r="O8" s="21" t="s">
        <v>23</v>
      </c>
      <c r="P8" s="21" t="s">
        <v>27</v>
      </c>
      <c r="Q8" s="21" t="s">
        <v>25</v>
      </c>
      <c r="R8" s="21" t="s">
        <v>22</v>
      </c>
      <c r="S8" s="21" t="s">
        <v>22</v>
      </c>
      <c r="T8" s="21" t="s">
        <v>25</v>
      </c>
      <c r="U8" s="12" t="s">
        <v>24</v>
      </c>
      <c r="V8" s="21" t="s">
        <v>23</v>
      </c>
      <c r="W8" s="21" t="s">
        <v>27</v>
      </c>
      <c r="X8" s="21" t="s">
        <v>25</v>
      </c>
      <c r="Y8" s="21" t="s">
        <v>26</v>
      </c>
      <c r="Z8" s="21" t="s">
        <v>26</v>
      </c>
      <c r="AA8" s="21" t="s">
        <v>25</v>
      </c>
      <c r="AB8" s="12" t="s">
        <v>24</v>
      </c>
      <c r="AC8" s="21" t="s">
        <v>28</v>
      </c>
      <c r="AD8" s="21" t="s">
        <v>24</v>
      </c>
      <c r="AE8" s="21" t="s">
        <v>28</v>
      </c>
      <c r="AF8" s="21" t="s">
        <v>28</v>
      </c>
      <c r="AG8" s="12" t="s">
        <v>24</v>
      </c>
      <c r="AH8" s="21" t="s">
        <v>25</v>
      </c>
      <c r="AI8" s="21" t="s">
        <v>25</v>
      </c>
      <c r="AJ8" s="21" t="s">
        <v>27</v>
      </c>
      <c r="AK8" s="21" t="s">
        <v>23</v>
      </c>
      <c r="AL8" s="12" t="s">
        <v>24</v>
      </c>
      <c r="AM8" s="21" t="s">
        <v>22</v>
      </c>
      <c r="AN8" s="21" t="s">
        <v>23</v>
      </c>
      <c r="AO8" s="21" t="s">
        <v>25</v>
      </c>
      <c r="AP8" s="21" t="s">
        <v>22</v>
      </c>
    </row>
    <row r="9" spans="1:42" x14ac:dyDescent="0.25">
      <c r="A9">
        <v>13</v>
      </c>
      <c r="B9" s="20">
        <v>25</v>
      </c>
      <c r="C9" s="20">
        <v>5</v>
      </c>
      <c r="D9" s="20" t="s">
        <v>28</v>
      </c>
      <c r="E9" s="20" t="s">
        <v>27</v>
      </c>
      <c r="F9" s="20" t="s">
        <v>24</v>
      </c>
      <c r="G9" s="12" t="s">
        <v>24</v>
      </c>
      <c r="H9" s="21" t="s">
        <v>26</v>
      </c>
      <c r="I9" s="21" t="s">
        <v>25</v>
      </c>
      <c r="J9" s="21" t="s">
        <v>25</v>
      </c>
      <c r="K9" s="21" t="s">
        <v>24</v>
      </c>
      <c r="L9" s="21" t="s">
        <v>23</v>
      </c>
      <c r="M9" s="21" t="s">
        <v>23</v>
      </c>
      <c r="N9" s="12" t="s">
        <v>24</v>
      </c>
      <c r="O9" s="21" t="s">
        <v>26</v>
      </c>
      <c r="P9" s="21" t="s">
        <v>25</v>
      </c>
      <c r="Q9" s="21" t="s">
        <v>25</v>
      </c>
      <c r="R9" s="21" t="s">
        <v>25</v>
      </c>
      <c r="S9" s="21" t="s">
        <v>25</v>
      </c>
      <c r="T9" s="21" t="s">
        <v>25</v>
      </c>
      <c r="U9" s="12" t="s">
        <v>24</v>
      </c>
      <c r="V9" s="21" t="s">
        <v>26</v>
      </c>
      <c r="W9" s="21" t="s">
        <v>25</v>
      </c>
      <c r="X9" s="21" t="s">
        <v>25</v>
      </c>
      <c r="Y9" s="21" t="s">
        <v>26</v>
      </c>
      <c r="Z9" s="21" t="s">
        <v>22</v>
      </c>
      <c r="AA9" s="21" t="s">
        <v>25</v>
      </c>
      <c r="AB9" s="12" t="s">
        <v>24</v>
      </c>
      <c r="AC9" s="21" t="s">
        <v>28</v>
      </c>
      <c r="AD9" s="21" t="s">
        <v>28</v>
      </c>
      <c r="AE9" s="21" t="s">
        <v>23</v>
      </c>
      <c r="AF9" s="21" t="s">
        <v>28</v>
      </c>
      <c r="AG9" s="12" t="s">
        <v>24</v>
      </c>
      <c r="AH9" s="21" t="s">
        <v>28</v>
      </c>
      <c r="AI9" s="21" t="s">
        <v>24</v>
      </c>
      <c r="AJ9" s="21" t="s">
        <v>22</v>
      </c>
      <c r="AK9" s="21" t="s">
        <v>28</v>
      </c>
      <c r="AL9" s="12" t="s">
        <v>24</v>
      </c>
      <c r="AM9" s="21" t="s">
        <v>28</v>
      </c>
      <c r="AN9" s="21" t="s">
        <v>24</v>
      </c>
      <c r="AO9" s="21" t="s">
        <v>28</v>
      </c>
      <c r="AP9" s="21" t="s">
        <v>28</v>
      </c>
    </row>
    <row r="10" spans="1:42" x14ac:dyDescent="0.25">
      <c r="A10">
        <v>15</v>
      </c>
      <c r="B10" s="20">
        <v>27</v>
      </c>
      <c r="C10" s="20">
        <v>1</v>
      </c>
      <c r="D10" s="20" t="s">
        <v>22</v>
      </c>
      <c r="E10" s="20" t="s">
        <v>25</v>
      </c>
      <c r="F10" s="20" t="s">
        <v>27</v>
      </c>
      <c r="G10" s="12" t="s">
        <v>24</v>
      </c>
      <c r="H10" s="21" t="s">
        <v>26</v>
      </c>
      <c r="I10" s="21" t="s">
        <v>25</v>
      </c>
      <c r="J10" s="21" t="s">
        <v>25</v>
      </c>
      <c r="K10" s="21" t="s">
        <v>24</v>
      </c>
      <c r="L10" s="21" t="s">
        <v>24</v>
      </c>
      <c r="M10" s="21" t="s">
        <v>23</v>
      </c>
      <c r="N10" s="12" t="s">
        <v>24</v>
      </c>
      <c r="O10" s="21" t="s">
        <v>23</v>
      </c>
      <c r="P10" s="21" t="s">
        <v>23</v>
      </c>
      <c r="Q10" s="21" t="s">
        <v>26</v>
      </c>
      <c r="R10" s="21" t="s">
        <v>25</v>
      </c>
      <c r="S10" s="21" t="s">
        <v>22</v>
      </c>
      <c r="T10" s="21" t="s">
        <v>25</v>
      </c>
      <c r="U10" s="12" t="s">
        <v>24</v>
      </c>
      <c r="V10" s="21" t="s">
        <v>24</v>
      </c>
      <c r="W10" s="21" t="s">
        <v>27</v>
      </c>
      <c r="X10" s="21" t="s">
        <v>26</v>
      </c>
      <c r="Y10" s="21" t="s">
        <v>26</v>
      </c>
      <c r="Z10" s="21" t="s">
        <v>26</v>
      </c>
      <c r="AA10" s="21" t="s">
        <v>25</v>
      </c>
      <c r="AB10" s="12" t="s">
        <v>24</v>
      </c>
      <c r="AC10" s="21" t="s">
        <v>25</v>
      </c>
      <c r="AD10" s="21" t="s">
        <v>26</v>
      </c>
      <c r="AE10" s="21" t="s">
        <v>26</v>
      </c>
      <c r="AF10" s="21" t="s">
        <v>22</v>
      </c>
      <c r="AG10" s="12" t="s">
        <v>24</v>
      </c>
      <c r="AH10" s="21" t="s">
        <v>22</v>
      </c>
      <c r="AI10" s="21" t="s">
        <v>26</v>
      </c>
      <c r="AJ10" s="21" t="s">
        <v>26</v>
      </c>
      <c r="AK10" s="21" t="s">
        <v>27</v>
      </c>
      <c r="AL10" s="12" t="s">
        <v>24</v>
      </c>
      <c r="AM10" s="21" t="s">
        <v>28</v>
      </c>
      <c r="AN10" s="21" t="s">
        <v>26</v>
      </c>
      <c r="AO10" s="21" t="s">
        <v>26</v>
      </c>
      <c r="AP10" s="21" t="s">
        <v>24</v>
      </c>
    </row>
    <row r="11" spans="1:42" x14ac:dyDescent="0.25">
      <c r="A11">
        <v>17</v>
      </c>
      <c r="B11" s="20">
        <v>29</v>
      </c>
      <c r="C11" s="20">
        <v>5</v>
      </c>
      <c r="D11" s="20" t="s">
        <v>28</v>
      </c>
      <c r="E11" s="20" t="s">
        <v>23</v>
      </c>
      <c r="F11" s="20" t="s">
        <v>24</v>
      </c>
      <c r="G11" s="12" t="s">
        <v>24</v>
      </c>
      <c r="H11" s="21" t="s">
        <v>27</v>
      </c>
      <c r="I11" s="21" t="s">
        <v>27</v>
      </c>
      <c r="J11" s="21" t="s">
        <v>25</v>
      </c>
      <c r="K11" s="21" t="s">
        <v>24</v>
      </c>
      <c r="L11" s="21" t="s">
        <v>26</v>
      </c>
      <c r="M11" s="21" t="s">
        <v>23</v>
      </c>
      <c r="N11" s="12" t="s">
        <v>24</v>
      </c>
      <c r="O11" s="21" t="s">
        <v>27</v>
      </c>
      <c r="P11" s="21" t="s">
        <v>26</v>
      </c>
      <c r="Q11" s="21" t="s">
        <v>25</v>
      </c>
      <c r="R11" s="21" t="s">
        <v>25</v>
      </c>
      <c r="S11" s="21" t="s">
        <v>25</v>
      </c>
      <c r="T11" s="21" t="s">
        <v>25</v>
      </c>
      <c r="U11" s="12" t="s">
        <v>24</v>
      </c>
      <c r="V11" s="21" t="s">
        <v>27</v>
      </c>
      <c r="W11" s="21" t="s">
        <v>26</v>
      </c>
      <c r="X11" s="21" t="s">
        <v>25</v>
      </c>
      <c r="Y11" s="21" t="s">
        <v>26</v>
      </c>
      <c r="Z11" s="21" t="s">
        <v>26</v>
      </c>
      <c r="AA11" s="21" t="s">
        <v>25</v>
      </c>
      <c r="AB11" s="12" t="s">
        <v>24</v>
      </c>
      <c r="AC11" s="21" t="s">
        <v>22</v>
      </c>
      <c r="AD11" s="21" t="s">
        <v>28</v>
      </c>
      <c r="AE11" s="21" t="s">
        <v>25</v>
      </c>
      <c r="AF11" s="21" t="s">
        <v>28</v>
      </c>
      <c r="AG11" s="12" t="s">
        <v>24</v>
      </c>
      <c r="AH11" s="21" t="s">
        <v>28</v>
      </c>
      <c r="AI11" s="21" t="s">
        <v>24</v>
      </c>
      <c r="AJ11" s="21" t="s">
        <v>28</v>
      </c>
      <c r="AK11" s="21" t="s">
        <v>28</v>
      </c>
      <c r="AL11" s="12" t="s">
        <v>24</v>
      </c>
      <c r="AM11" s="21" t="s">
        <v>28</v>
      </c>
      <c r="AN11" s="21" t="s">
        <v>24</v>
      </c>
      <c r="AO11" s="21" t="s">
        <v>28</v>
      </c>
      <c r="AP11" s="21" t="s">
        <v>28</v>
      </c>
    </row>
    <row r="12" spans="1:42" x14ac:dyDescent="0.25">
      <c r="A12">
        <v>19</v>
      </c>
      <c r="B12" s="20">
        <v>27</v>
      </c>
      <c r="C12" s="20">
        <v>2</v>
      </c>
      <c r="D12" s="20" t="s">
        <v>28</v>
      </c>
      <c r="E12" s="20" t="s">
        <v>27</v>
      </c>
      <c r="F12" s="20" t="s">
        <v>24</v>
      </c>
      <c r="G12" s="12" t="s">
        <v>24</v>
      </c>
      <c r="H12" s="21" t="s">
        <v>27</v>
      </c>
      <c r="I12" s="21" t="s">
        <v>26</v>
      </c>
      <c r="J12" s="21" t="s">
        <v>25</v>
      </c>
      <c r="K12" s="21" t="s">
        <v>24</v>
      </c>
      <c r="L12" s="21" t="s">
        <v>24</v>
      </c>
      <c r="M12" s="21" t="s">
        <v>23</v>
      </c>
      <c r="N12" s="12" t="s">
        <v>24</v>
      </c>
      <c r="O12" s="21" t="s">
        <v>27</v>
      </c>
      <c r="P12" s="21" t="s">
        <v>26</v>
      </c>
      <c r="Q12" s="21" t="s">
        <v>25</v>
      </c>
      <c r="R12" s="21" t="s">
        <v>25</v>
      </c>
      <c r="S12" s="21" t="s">
        <v>22</v>
      </c>
      <c r="T12" s="21" t="s">
        <v>25</v>
      </c>
      <c r="U12" s="12" t="s">
        <v>24</v>
      </c>
      <c r="V12" s="21" t="s">
        <v>27</v>
      </c>
      <c r="W12" s="21" t="s">
        <v>26</v>
      </c>
      <c r="X12" s="21" t="s">
        <v>25</v>
      </c>
      <c r="Y12" s="21" t="s">
        <v>26</v>
      </c>
      <c r="Z12" s="21" t="s">
        <v>26</v>
      </c>
      <c r="AA12" s="21" t="s">
        <v>25</v>
      </c>
      <c r="AB12" s="12" t="s">
        <v>24</v>
      </c>
      <c r="AC12" s="21" t="s">
        <v>27</v>
      </c>
      <c r="AD12" s="21" t="s">
        <v>22</v>
      </c>
      <c r="AE12" s="21" t="s">
        <v>23</v>
      </c>
      <c r="AF12" s="21" t="s">
        <v>28</v>
      </c>
      <c r="AG12" s="12" t="s">
        <v>24</v>
      </c>
      <c r="AH12" s="21" t="s">
        <v>25</v>
      </c>
      <c r="AI12" s="21" t="s">
        <v>24</v>
      </c>
      <c r="AJ12" s="21" t="s">
        <v>26</v>
      </c>
      <c r="AK12" s="21" t="s">
        <v>28</v>
      </c>
      <c r="AL12" s="12" t="s">
        <v>24</v>
      </c>
      <c r="AM12" s="21" t="s">
        <v>25</v>
      </c>
      <c r="AN12" s="21" t="s">
        <v>24</v>
      </c>
      <c r="AO12" s="21" t="s">
        <v>27</v>
      </c>
      <c r="AP12" s="21" t="s">
        <v>28</v>
      </c>
    </row>
    <row r="13" spans="1:42" x14ac:dyDescent="0.25">
      <c r="A13">
        <v>23</v>
      </c>
      <c r="B13" s="20">
        <v>33</v>
      </c>
      <c r="C13" s="20">
        <v>1</v>
      </c>
      <c r="D13" s="20" t="s">
        <v>22</v>
      </c>
      <c r="E13" s="20" t="s">
        <v>24</v>
      </c>
      <c r="F13" s="20" t="s">
        <v>24</v>
      </c>
      <c r="G13" s="12" t="s">
        <v>24</v>
      </c>
      <c r="H13" s="21" t="s">
        <v>26</v>
      </c>
      <c r="I13" s="21" t="s">
        <v>27</v>
      </c>
      <c r="J13" s="21" t="s">
        <v>25</v>
      </c>
      <c r="K13" s="21" t="s">
        <v>24</v>
      </c>
      <c r="L13" s="21" t="s">
        <v>24</v>
      </c>
      <c r="M13" s="21" t="s">
        <v>26</v>
      </c>
      <c r="N13" s="12" t="s">
        <v>24</v>
      </c>
      <c r="O13" s="21" t="s">
        <v>26</v>
      </c>
      <c r="P13" s="21" t="s">
        <v>27</v>
      </c>
      <c r="Q13" s="21" t="s">
        <v>25</v>
      </c>
      <c r="R13" s="21" t="s">
        <v>25</v>
      </c>
      <c r="S13" s="21" t="s">
        <v>25</v>
      </c>
      <c r="T13" s="21" t="s">
        <v>25</v>
      </c>
      <c r="U13" s="12" t="s">
        <v>24</v>
      </c>
      <c r="V13" s="21" t="s">
        <v>23</v>
      </c>
      <c r="W13" s="21" t="s">
        <v>26</v>
      </c>
      <c r="X13" s="21" t="s">
        <v>25</v>
      </c>
      <c r="Y13" s="21" t="s">
        <v>26</v>
      </c>
      <c r="Z13" s="21" t="s">
        <v>26</v>
      </c>
      <c r="AA13" s="21" t="s">
        <v>22</v>
      </c>
      <c r="AB13" s="12" t="s">
        <v>24</v>
      </c>
      <c r="AC13" s="21" t="s">
        <v>28</v>
      </c>
      <c r="AD13" s="21" t="s">
        <v>28</v>
      </c>
      <c r="AE13" s="21" t="s">
        <v>26</v>
      </c>
      <c r="AF13" s="21" t="s">
        <v>28</v>
      </c>
      <c r="AG13" s="12" t="s">
        <v>24</v>
      </c>
      <c r="AH13" s="21" t="s">
        <v>22</v>
      </c>
      <c r="AI13" s="21" t="s">
        <v>26</v>
      </c>
      <c r="AJ13" s="21" t="s">
        <v>27</v>
      </c>
      <c r="AK13" s="21" t="s">
        <v>28</v>
      </c>
      <c r="AL13" s="12" t="s">
        <v>24</v>
      </c>
      <c r="AM13" s="21" t="s">
        <v>28</v>
      </c>
      <c r="AN13" s="21" t="s">
        <v>24</v>
      </c>
      <c r="AO13" s="21" t="s">
        <v>28</v>
      </c>
      <c r="AP13" s="21" t="s">
        <v>28</v>
      </c>
    </row>
    <row r="14" spans="1:42" x14ac:dyDescent="0.25">
      <c r="A14">
        <v>26</v>
      </c>
      <c r="B14" s="20">
        <v>32</v>
      </c>
      <c r="C14" s="20">
        <v>3</v>
      </c>
      <c r="D14" s="20" t="s">
        <v>28</v>
      </c>
      <c r="E14" s="20" t="s">
        <v>23</v>
      </c>
      <c r="F14" s="20" t="s">
        <v>24</v>
      </c>
      <c r="G14" s="12" t="s">
        <v>24</v>
      </c>
      <c r="H14" s="21" t="s">
        <v>26</v>
      </c>
      <c r="I14" s="21" t="s">
        <v>25</v>
      </c>
      <c r="J14" s="21" t="s">
        <v>25</v>
      </c>
      <c r="K14" s="21" t="s">
        <v>24</v>
      </c>
      <c r="L14" s="21" t="s">
        <v>24</v>
      </c>
      <c r="M14" s="21" t="s">
        <v>23</v>
      </c>
      <c r="N14" s="12" t="s">
        <v>24</v>
      </c>
      <c r="O14" s="21" t="s">
        <v>23</v>
      </c>
      <c r="P14" s="21" t="s">
        <v>27</v>
      </c>
      <c r="Q14" s="21" t="s">
        <v>25</v>
      </c>
      <c r="R14" s="21" t="s">
        <v>25</v>
      </c>
      <c r="S14" s="21" t="s">
        <v>25</v>
      </c>
      <c r="T14" s="21" t="s">
        <v>25</v>
      </c>
      <c r="U14" s="12" t="s">
        <v>24</v>
      </c>
      <c r="V14" s="21" t="s">
        <v>23</v>
      </c>
      <c r="W14" s="21" t="s">
        <v>26</v>
      </c>
      <c r="X14" s="21" t="s">
        <v>25</v>
      </c>
      <c r="Y14" s="21" t="s">
        <v>26</v>
      </c>
      <c r="Z14" s="21" t="s">
        <v>26</v>
      </c>
      <c r="AA14" s="21" t="s">
        <v>25</v>
      </c>
      <c r="AB14" s="12" t="s">
        <v>24</v>
      </c>
      <c r="AC14" s="21" t="s">
        <v>23</v>
      </c>
      <c r="AD14" s="21" t="s">
        <v>28</v>
      </c>
      <c r="AE14" s="21" t="s">
        <v>27</v>
      </c>
      <c r="AF14" s="21" t="s">
        <v>26</v>
      </c>
      <c r="AG14" s="12" t="s">
        <v>24</v>
      </c>
      <c r="AH14" s="21" t="s">
        <v>28</v>
      </c>
      <c r="AI14" s="21" t="s">
        <v>23</v>
      </c>
      <c r="AJ14" s="21" t="s">
        <v>28</v>
      </c>
      <c r="AK14" s="21" t="s">
        <v>25</v>
      </c>
      <c r="AL14" s="12" t="s">
        <v>24</v>
      </c>
      <c r="AM14" s="21" t="s">
        <v>28</v>
      </c>
      <c r="AN14" s="21" t="s">
        <v>24</v>
      </c>
      <c r="AO14" s="21" t="s">
        <v>28</v>
      </c>
      <c r="AP14" s="21" t="s">
        <v>27</v>
      </c>
    </row>
    <row r="15" spans="1:42" x14ac:dyDescent="0.25">
      <c r="A15">
        <v>27</v>
      </c>
      <c r="B15" s="20">
        <v>25</v>
      </c>
      <c r="C15" s="20">
        <v>5</v>
      </c>
      <c r="D15" s="20" t="s">
        <v>28</v>
      </c>
      <c r="E15" s="20" t="s">
        <v>24</v>
      </c>
      <c r="F15" s="20" t="s">
        <v>24</v>
      </c>
      <c r="G15" s="12" t="s">
        <v>24</v>
      </c>
      <c r="H15" s="21" t="s">
        <v>27</v>
      </c>
      <c r="I15" s="21" t="s">
        <v>25</v>
      </c>
      <c r="J15" s="21" t="s">
        <v>25</v>
      </c>
      <c r="K15" s="21" t="s">
        <v>24</v>
      </c>
      <c r="L15" s="21" t="s">
        <v>24</v>
      </c>
      <c r="M15" s="21" t="s">
        <v>23</v>
      </c>
      <c r="N15" s="12" t="s">
        <v>24</v>
      </c>
      <c r="O15" s="21" t="s">
        <v>23</v>
      </c>
      <c r="P15" s="21" t="s">
        <v>25</v>
      </c>
      <c r="Q15" s="21" t="s">
        <v>25</v>
      </c>
      <c r="R15" s="21" t="s">
        <v>25</v>
      </c>
      <c r="S15" s="21" t="s">
        <v>26</v>
      </c>
      <c r="T15" s="21" t="s">
        <v>25</v>
      </c>
      <c r="U15" s="12" t="s">
        <v>24</v>
      </c>
      <c r="V15" s="21" t="s">
        <v>23</v>
      </c>
      <c r="W15" s="21" t="s">
        <v>25</v>
      </c>
      <c r="X15" s="21" t="s">
        <v>25</v>
      </c>
      <c r="Y15" s="21" t="s">
        <v>26</v>
      </c>
      <c r="Z15" s="21" t="s">
        <v>26</v>
      </c>
      <c r="AA15" s="21" t="s">
        <v>26</v>
      </c>
      <c r="AB15" s="12" t="s">
        <v>24</v>
      </c>
      <c r="AC15" s="21" t="s">
        <v>26</v>
      </c>
      <c r="AD15" s="21" t="s">
        <v>28</v>
      </c>
      <c r="AE15" s="21" t="s">
        <v>24</v>
      </c>
      <c r="AF15" s="21" t="s">
        <v>23</v>
      </c>
      <c r="AG15" s="12" t="s">
        <v>24</v>
      </c>
      <c r="AH15" s="21" t="s">
        <v>23</v>
      </c>
      <c r="AI15" s="21" t="s">
        <v>27</v>
      </c>
      <c r="AJ15" s="21" t="s">
        <v>28</v>
      </c>
      <c r="AK15" s="21" t="s">
        <v>23</v>
      </c>
      <c r="AL15" s="12" t="s">
        <v>24</v>
      </c>
      <c r="AM15" s="21" t="s">
        <v>28</v>
      </c>
      <c r="AN15" s="21" t="s">
        <v>22</v>
      </c>
      <c r="AO15" s="21" t="s">
        <v>22</v>
      </c>
      <c r="AP15" s="21" t="s">
        <v>25</v>
      </c>
    </row>
    <row r="16" spans="1:42" x14ac:dyDescent="0.25">
      <c r="A16">
        <v>28</v>
      </c>
      <c r="B16" s="20">
        <v>30</v>
      </c>
      <c r="C16" s="20">
        <v>5</v>
      </c>
      <c r="D16" s="20" t="s">
        <v>28</v>
      </c>
      <c r="E16" s="20" t="s">
        <v>26</v>
      </c>
      <c r="F16" s="20" t="s">
        <v>24</v>
      </c>
      <c r="G16" s="12" t="s">
        <v>24</v>
      </c>
      <c r="H16" s="21" t="s">
        <v>27</v>
      </c>
      <c r="I16" s="21" t="s">
        <v>26</v>
      </c>
      <c r="J16" s="21" t="s">
        <v>25</v>
      </c>
      <c r="K16" s="21" t="s">
        <v>24</v>
      </c>
      <c r="L16" s="21" t="s">
        <v>24</v>
      </c>
      <c r="M16" s="21" t="s">
        <v>23</v>
      </c>
      <c r="N16" s="12" t="s">
        <v>24</v>
      </c>
      <c r="O16" s="21" t="s">
        <v>27</v>
      </c>
      <c r="P16" s="21" t="s">
        <v>26</v>
      </c>
      <c r="Q16" s="21" t="s">
        <v>25</v>
      </c>
      <c r="R16" s="21" t="s">
        <v>25</v>
      </c>
      <c r="S16" s="21" t="s">
        <v>22</v>
      </c>
      <c r="T16" s="21" t="s">
        <v>25</v>
      </c>
      <c r="U16" s="12" t="s">
        <v>24</v>
      </c>
      <c r="V16" s="21" t="s">
        <v>27</v>
      </c>
      <c r="W16" s="21" t="s">
        <v>26</v>
      </c>
      <c r="X16" s="21" t="s">
        <v>25</v>
      </c>
      <c r="Y16" s="21" t="s">
        <v>26</v>
      </c>
      <c r="Z16" s="21" t="s">
        <v>26</v>
      </c>
      <c r="AA16" s="21" t="s">
        <v>25</v>
      </c>
      <c r="AB16" s="12" t="s">
        <v>24</v>
      </c>
      <c r="AC16" s="21" t="s">
        <v>27</v>
      </c>
      <c r="AD16" s="21" t="s">
        <v>28</v>
      </c>
      <c r="AE16" s="21" t="s">
        <v>26</v>
      </c>
      <c r="AF16" s="21" t="s">
        <v>24</v>
      </c>
      <c r="AG16" s="12" t="s">
        <v>24</v>
      </c>
      <c r="AH16" s="21" t="s">
        <v>28</v>
      </c>
      <c r="AI16" s="21" t="s">
        <v>24</v>
      </c>
      <c r="AJ16" s="21" t="s">
        <v>28</v>
      </c>
      <c r="AK16" s="21" t="s">
        <v>28</v>
      </c>
      <c r="AL16" s="12" t="s">
        <v>24</v>
      </c>
      <c r="AM16" s="21" t="s">
        <v>25</v>
      </c>
      <c r="AN16" s="21" t="s">
        <v>24</v>
      </c>
      <c r="AO16" s="21" t="s">
        <v>25</v>
      </c>
      <c r="AP16" s="21" t="s">
        <v>24</v>
      </c>
    </row>
    <row r="17" spans="1:53" x14ac:dyDescent="0.25">
      <c r="A17">
        <v>29</v>
      </c>
      <c r="B17" s="20">
        <v>47</v>
      </c>
      <c r="C17" s="20">
        <v>4</v>
      </c>
      <c r="D17" s="20" t="s">
        <v>28</v>
      </c>
      <c r="E17" s="20" t="s">
        <v>23</v>
      </c>
      <c r="F17" s="20" t="s">
        <v>23</v>
      </c>
      <c r="G17" s="12" t="s">
        <v>24</v>
      </c>
      <c r="H17" s="21" t="s">
        <v>23</v>
      </c>
      <c r="I17" s="21" t="s">
        <v>27</v>
      </c>
      <c r="J17" s="21" t="s">
        <v>25</v>
      </c>
      <c r="K17" s="21" t="s">
        <v>24</v>
      </c>
      <c r="L17" s="21" t="s">
        <v>24</v>
      </c>
      <c r="M17" s="21" t="s">
        <v>23</v>
      </c>
      <c r="N17" s="12" t="s">
        <v>24</v>
      </c>
      <c r="O17" s="21" t="s">
        <v>23</v>
      </c>
      <c r="P17" s="21" t="s">
        <v>27</v>
      </c>
      <c r="Q17" s="21" t="s">
        <v>26</v>
      </c>
      <c r="R17" s="21" t="s">
        <v>25</v>
      </c>
      <c r="S17" s="21" t="s">
        <v>26</v>
      </c>
      <c r="T17" s="21" t="s">
        <v>25</v>
      </c>
      <c r="U17" s="12" t="s">
        <v>24</v>
      </c>
      <c r="V17" s="21" t="s">
        <v>27</v>
      </c>
      <c r="W17" s="21" t="s">
        <v>27</v>
      </c>
      <c r="X17" s="21" t="s">
        <v>25</v>
      </c>
      <c r="Y17" s="21" t="s">
        <v>26</v>
      </c>
      <c r="Z17" s="21" t="s">
        <v>26</v>
      </c>
      <c r="AA17" s="21" t="s">
        <v>25</v>
      </c>
      <c r="AB17" s="12" t="s">
        <v>24</v>
      </c>
      <c r="AC17" s="21" t="s">
        <v>28</v>
      </c>
      <c r="AD17" s="21" t="s">
        <v>24</v>
      </c>
      <c r="AE17" s="21" t="s">
        <v>28</v>
      </c>
      <c r="AF17" s="21" t="s">
        <v>24</v>
      </c>
      <c r="AG17" s="12" t="s">
        <v>24</v>
      </c>
      <c r="AH17" s="21" t="s">
        <v>28</v>
      </c>
      <c r="AI17" s="21" t="s">
        <v>24</v>
      </c>
      <c r="AJ17" s="21" t="s">
        <v>28</v>
      </c>
      <c r="AK17" s="21" t="s">
        <v>28</v>
      </c>
      <c r="AL17" s="12" t="s">
        <v>24</v>
      </c>
      <c r="AM17" s="21" t="s">
        <v>28</v>
      </c>
      <c r="AN17" s="21" t="s">
        <v>24</v>
      </c>
      <c r="AO17" s="21" t="s">
        <v>28</v>
      </c>
      <c r="AP17" s="21" t="s">
        <v>24</v>
      </c>
    </row>
    <row r="18" spans="1:53" x14ac:dyDescent="0.25">
      <c r="A18">
        <v>31</v>
      </c>
      <c r="B18" s="20">
        <v>25</v>
      </c>
      <c r="C18" s="20">
        <v>5</v>
      </c>
      <c r="D18" s="20" t="s">
        <v>22</v>
      </c>
      <c r="E18" s="20" t="s">
        <v>27</v>
      </c>
      <c r="F18" s="20" t="s">
        <v>23</v>
      </c>
      <c r="G18" s="12" t="s">
        <v>24</v>
      </c>
      <c r="H18" s="21" t="s">
        <v>23</v>
      </c>
      <c r="I18" s="21" t="s">
        <v>27</v>
      </c>
      <c r="J18" s="21" t="s">
        <v>25</v>
      </c>
      <c r="K18" s="21" t="s">
        <v>24</v>
      </c>
      <c r="L18" s="21" t="s">
        <v>24</v>
      </c>
      <c r="M18" s="21" t="s">
        <v>23</v>
      </c>
      <c r="N18" s="12" t="s">
        <v>24</v>
      </c>
      <c r="O18" s="21" t="s">
        <v>24</v>
      </c>
      <c r="P18" s="21" t="s">
        <v>27</v>
      </c>
      <c r="Q18" s="21" t="s">
        <v>25</v>
      </c>
      <c r="R18" s="21" t="s">
        <v>25</v>
      </c>
      <c r="S18" s="21" t="s">
        <v>26</v>
      </c>
      <c r="T18" s="21" t="s">
        <v>25</v>
      </c>
      <c r="U18" s="12" t="s">
        <v>24</v>
      </c>
      <c r="V18" s="21" t="s">
        <v>24</v>
      </c>
      <c r="W18" s="21" t="s">
        <v>26</v>
      </c>
      <c r="X18" s="21" t="s">
        <v>25</v>
      </c>
      <c r="Y18" s="21" t="s">
        <v>26</v>
      </c>
      <c r="Z18" s="21" t="s">
        <v>26</v>
      </c>
      <c r="AA18" s="21" t="s">
        <v>25</v>
      </c>
      <c r="AB18" s="12" t="s">
        <v>24</v>
      </c>
      <c r="AC18" s="21" t="s">
        <v>28</v>
      </c>
      <c r="AD18" s="21" t="s">
        <v>24</v>
      </c>
      <c r="AE18" s="21" t="s">
        <v>22</v>
      </c>
      <c r="AF18" s="21" t="s">
        <v>28</v>
      </c>
      <c r="AG18" s="12" t="s">
        <v>24</v>
      </c>
      <c r="AH18" s="21" t="s">
        <v>22</v>
      </c>
      <c r="AI18" s="21" t="s">
        <v>26</v>
      </c>
      <c r="AJ18" s="21" t="s">
        <v>26</v>
      </c>
      <c r="AK18" s="21" t="s">
        <v>28</v>
      </c>
      <c r="AL18" s="12" t="s">
        <v>24</v>
      </c>
      <c r="AM18" s="21" t="s">
        <v>28</v>
      </c>
      <c r="AN18" s="21" t="s">
        <v>24</v>
      </c>
      <c r="AO18" s="21" t="s">
        <v>28</v>
      </c>
      <c r="AP18" s="21" t="s">
        <v>28</v>
      </c>
    </row>
    <row r="19" spans="1:53" x14ac:dyDescent="0.25">
      <c r="A19">
        <v>32</v>
      </c>
      <c r="B19" s="20">
        <v>22</v>
      </c>
      <c r="C19" s="20">
        <v>5</v>
      </c>
      <c r="D19" s="20" t="s">
        <v>22</v>
      </c>
      <c r="E19" s="20" t="s">
        <v>27</v>
      </c>
      <c r="F19" s="20" t="s">
        <v>23</v>
      </c>
      <c r="G19" s="12" t="s">
        <v>24</v>
      </c>
      <c r="H19" s="21" t="s">
        <v>26</v>
      </c>
      <c r="I19" s="21" t="s">
        <v>25</v>
      </c>
      <c r="J19" s="21" t="s">
        <v>27</v>
      </c>
      <c r="K19" s="21" t="s">
        <v>24</v>
      </c>
      <c r="L19" s="21" t="s">
        <v>26</v>
      </c>
      <c r="M19" s="21" t="s">
        <v>23</v>
      </c>
      <c r="N19" s="12" t="s">
        <v>24</v>
      </c>
      <c r="O19" s="21" t="s">
        <v>27</v>
      </c>
      <c r="P19" s="21" t="s">
        <v>23</v>
      </c>
      <c r="Q19" s="21" t="s">
        <v>25</v>
      </c>
      <c r="R19" s="21" t="s">
        <v>25</v>
      </c>
      <c r="S19" s="21" t="s">
        <v>25</v>
      </c>
      <c r="T19" s="21" t="s">
        <v>25</v>
      </c>
      <c r="U19" s="12" t="s">
        <v>24</v>
      </c>
      <c r="V19" s="21" t="s">
        <v>27</v>
      </c>
      <c r="W19" s="21" t="s">
        <v>26</v>
      </c>
      <c r="X19" s="21" t="s">
        <v>25</v>
      </c>
      <c r="Y19" s="21" t="s">
        <v>26</v>
      </c>
      <c r="Z19" s="21" t="s">
        <v>22</v>
      </c>
      <c r="AA19" s="21" t="s">
        <v>25</v>
      </c>
      <c r="AB19" s="12" t="s">
        <v>24</v>
      </c>
      <c r="AC19" s="21" t="s">
        <v>28</v>
      </c>
      <c r="AD19" s="21" t="s">
        <v>24</v>
      </c>
      <c r="AE19" s="21" t="s">
        <v>22</v>
      </c>
      <c r="AF19" s="21" t="s">
        <v>28</v>
      </c>
      <c r="AG19" s="12" t="s">
        <v>24</v>
      </c>
      <c r="AH19" s="21" t="s">
        <v>28</v>
      </c>
      <c r="AI19" s="21" t="s">
        <v>23</v>
      </c>
      <c r="AJ19" s="21" t="s">
        <v>25</v>
      </c>
      <c r="AK19" s="21" t="s">
        <v>22</v>
      </c>
      <c r="AL19" s="12" t="s">
        <v>24</v>
      </c>
      <c r="AM19" s="21" t="s">
        <v>28</v>
      </c>
      <c r="AN19" s="21" t="s">
        <v>24</v>
      </c>
      <c r="AO19" s="21" t="s">
        <v>28</v>
      </c>
      <c r="AP19" s="21" t="s">
        <v>28</v>
      </c>
    </row>
    <row r="20" spans="1:53" x14ac:dyDescent="0.25">
      <c r="A20">
        <v>36</v>
      </c>
      <c r="B20" s="20">
        <v>24</v>
      </c>
      <c r="C20" s="20">
        <v>5</v>
      </c>
      <c r="D20" s="20" t="s">
        <v>22</v>
      </c>
      <c r="E20" s="20" t="s">
        <v>26</v>
      </c>
      <c r="F20" s="20" t="s">
        <v>23</v>
      </c>
      <c r="G20" s="12" t="s">
        <v>24</v>
      </c>
      <c r="H20" s="21" t="s">
        <v>27</v>
      </c>
      <c r="I20" s="21" t="s">
        <v>26</v>
      </c>
      <c r="J20" s="21" t="s">
        <v>25</v>
      </c>
      <c r="K20" s="21" t="s">
        <v>24</v>
      </c>
      <c r="L20" s="21" t="s">
        <v>24</v>
      </c>
      <c r="M20" s="21" t="s">
        <v>23</v>
      </c>
      <c r="N20" s="12" t="s">
        <v>24</v>
      </c>
      <c r="O20" s="21" t="s">
        <v>23</v>
      </c>
      <c r="P20" s="21" t="s">
        <v>26</v>
      </c>
      <c r="Q20" s="21" t="s">
        <v>25</v>
      </c>
      <c r="R20" s="21" t="s">
        <v>25</v>
      </c>
      <c r="S20" s="21" t="s">
        <v>26</v>
      </c>
      <c r="T20" s="21" t="s">
        <v>22</v>
      </c>
      <c r="U20" s="12" t="s">
        <v>24</v>
      </c>
      <c r="V20" s="21" t="s">
        <v>27</v>
      </c>
      <c r="W20" s="21" t="s">
        <v>26</v>
      </c>
      <c r="X20" s="21" t="s">
        <v>25</v>
      </c>
      <c r="Y20" s="21" t="s">
        <v>26</v>
      </c>
      <c r="Z20" s="21" t="s">
        <v>26</v>
      </c>
      <c r="AA20" s="21" t="s">
        <v>22</v>
      </c>
      <c r="AB20" s="12" t="s">
        <v>24</v>
      </c>
      <c r="AC20" s="21" t="s">
        <v>22</v>
      </c>
      <c r="AD20" s="21" t="s">
        <v>28</v>
      </c>
      <c r="AE20" s="21" t="s">
        <v>23</v>
      </c>
      <c r="AF20" s="21" t="s">
        <v>28</v>
      </c>
      <c r="AG20" s="12" t="s">
        <v>24</v>
      </c>
      <c r="AH20" s="21" t="s">
        <v>28</v>
      </c>
      <c r="AI20" s="21" t="s">
        <v>24</v>
      </c>
      <c r="AJ20" s="21" t="s">
        <v>28</v>
      </c>
      <c r="AK20" s="21" t="s">
        <v>28</v>
      </c>
      <c r="AL20" s="12" t="s">
        <v>24</v>
      </c>
      <c r="AM20" s="21" t="s">
        <v>22</v>
      </c>
      <c r="AN20" s="21" t="s">
        <v>23</v>
      </c>
      <c r="AO20" s="21" t="s">
        <v>25</v>
      </c>
      <c r="AP20" s="21" t="s">
        <v>28</v>
      </c>
    </row>
    <row r="21" spans="1:53" x14ac:dyDescent="0.25">
      <c r="A21">
        <v>37</v>
      </c>
      <c r="B21" s="20">
        <v>27</v>
      </c>
      <c r="C21" s="20">
        <v>5</v>
      </c>
      <c r="D21" s="20" t="s">
        <v>28</v>
      </c>
      <c r="E21" s="20" t="s">
        <v>23</v>
      </c>
      <c r="F21" s="20" t="s">
        <v>24</v>
      </c>
      <c r="G21" s="12" t="s">
        <v>24</v>
      </c>
      <c r="H21" s="21" t="s">
        <v>23</v>
      </c>
      <c r="I21" s="21" t="s">
        <v>26</v>
      </c>
      <c r="J21" s="21" t="s">
        <v>25</v>
      </c>
      <c r="K21" s="21" t="s">
        <v>24</v>
      </c>
      <c r="L21" s="21" t="s">
        <v>24</v>
      </c>
      <c r="M21" s="21" t="s">
        <v>23</v>
      </c>
      <c r="N21" s="12" t="s">
        <v>24</v>
      </c>
      <c r="O21" s="21" t="s">
        <v>23</v>
      </c>
      <c r="P21" s="21" t="s">
        <v>26</v>
      </c>
      <c r="Q21" s="21" t="s">
        <v>25</v>
      </c>
      <c r="R21" s="21" t="s">
        <v>25</v>
      </c>
      <c r="S21" s="21" t="s">
        <v>25</v>
      </c>
      <c r="T21" s="21" t="s">
        <v>25</v>
      </c>
      <c r="U21" s="12" t="s">
        <v>24</v>
      </c>
      <c r="V21" s="21" t="s">
        <v>23</v>
      </c>
      <c r="W21" s="21" t="s">
        <v>26</v>
      </c>
      <c r="X21" s="21" t="s">
        <v>25</v>
      </c>
      <c r="Y21" s="21" t="s">
        <v>26</v>
      </c>
      <c r="Z21" s="21" t="s">
        <v>26</v>
      </c>
      <c r="AA21" s="21" t="s">
        <v>25</v>
      </c>
      <c r="AB21" s="12" t="s">
        <v>24</v>
      </c>
      <c r="AC21" s="21" t="s">
        <v>28</v>
      </c>
      <c r="AD21" s="21" t="s">
        <v>28</v>
      </c>
      <c r="AE21" s="21" t="s">
        <v>22</v>
      </c>
      <c r="AF21" s="21" t="s">
        <v>28</v>
      </c>
      <c r="AG21" s="12" t="s">
        <v>24</v>
      </c>
      <c r="AH21" s="21" t="s">
        <v>28</v>
      </c>
      <c r="AI21" s="21" t="s">
        <v>24</v>
      </c>
      <c r="AJ21" s="21" t="s">
        <v>22</v>
      </c>
      <c r="AK21" s="21" t="s">
        <v>28</v>
      </c>
      <c r="AL21" s="12" t="s">
        <v>24</v>
      </c>
      <c r="AM21" s="21" t="s">
        <v>28</v>
      </c>
      <c r="AN21" s="21" t="s">
        <v>24</v>
      </c>
      <c r="AO21" s="21" t="s">
        <v>22</v>
      </c>
      <c r="AP21" s="21" t="s">
        <v>28</v>
      </c>
    </row>
    <row r="22" spans="1:53" x14ac:dyDescent="0.25">
      <c r="A22">
        <v>38</v>
      </c>
      <c r="B22" s="20">
        <v>26</v>
      </c>
      <c r="C22" s="20">
        <v>1</v>
      </c>
      <c r="D22" s="20" t="s">
        <v>22</v>
      </c>
      <c r="E22" s="20" t="s">
        <v>27</v>
      </c>
      <c r="F22" s="20" t="s">
        <v>27</v>
      </c>
      <c r="G22" s="12" t="s">
        <v>24</v>
      </c>
      <c r="H22" s="21" t="s">
        <v>27</v>
      </c>
      <c r="I22" s="21" t="s">
        <v>26</v>
      </c>
      <c r="J22" s="21" t="s">
        <v>25</v>
      </c>
      <c r="K22" s="21" t="s">
        <v>24</v>
      </c>
      <c r="L22" s="21" t="s">
        <v>24</v>
      </c>
      <c r="M22" s="21" t="s">
        <v>23</v>
      </c>
      <c r="N22" s="12" t="s">
        <v>24</v>
      </c>
      <c r="O22" s="21" t="s">
        <v>26</v>
      </c>
      <c r="P22" s="21" t="s">
        <v>27</v>
      </c>
      <c r="Q22" s="21" t="s">
        <v>25</v>
      </c>
      <c r="R22" s="21" t="s">
        <v>25</v>
      </c>
      <c r="S22" s="21" t="s">
        <v>26</v>
      </c>
      <c r="T22" s="21" t="s">
        <v>25</v>
      </c>
      <c r="U22" s="12" t="s">
        <v>24</v>
      </c>
      <c r="V22" s="21" t="s">
        <v>26</v>
      </c>
      <c r="W22" s="21" t="s">
        <v>27</v>
      </c>
      <c r="X22" s="21" t="s">
        <v>25</v>
      </c>
      <c r="Y22" s="21" t="s">
        <v>26</v>
      </c>
      <c r="Z22" s="21" t="s">
        <v>26</v>
      </c>
      <c r="AA22" s="21" t="s">
        <v>25</v>
      </c>
      <c r="AB22" s="12" t="s">
        <v>24</v>
      </c>
      <c r="AC22" s="21" t="s">
        <v>27</v>
      </c>
      <c r="AD22" s="21" t="s">
        <v>22</v>
      </c>
      <c r="AE22" s="21" t="s">
        <v>23</v>
      </c>
      <c r="AF22" s="21" t="s">
        <v>25</v>
      </c>
      <c r="AG22" s="12" t="s">
        <v>24</v>
      </c>
      <c r="AH22" s="21" t="s">
        <v>22</v>
      </c>
      <c r="AI22" s="21" t="s">
        <v>25</v>
      </c>
      <c r="AJ22" s="21" t="s">
        <v>27</v>
      </c>
      <c r="AK22" s="21" t="s">
        <v>24</v>
      </c>
      <c r="AL22" s="12" t="s">
        <v>24</v>
      </c>
      <c r="AM22" s="21" t="s">
        <v>28</v>
      </c>
      <c r="AN22" s="21" t="s">
        <v>24</v>
      </c>
      <c r="AO22" s="21" t="s">
        <v>25</v>
      </c>
      <c r="AP22" s="21" t="s">
        <v>24</v>
      </c>
    </row>
    <row r="23" spans="1:53" ht="15.75" thickBot="1" x14ac:dyDescent="0.3">
      <c r="A23">
        <v>39</v>
      </c>
      <c r="B23" s="23">
        <v>25</v>
      </c>
      <c r="C23" s="23">
        <v>5</v>
      </c>
      <c r="D23" s="23" t="s">
        <v>22</v>
      </c>
      <c r="E23" s="23" t="s">
        <v>23</v>
      </c>
      <c r="F23" s="23" t="s">
        <v>23</v>
      </c>
      <c r="G23" s="12" t="s">
        <v>24</v>
      </c>
      <c r="H23" s="24" t="s">
        <v>23</v>
      </c>
      <c r="I23" s="24" t="s">
        <v>25</v>
      </c>
      <c r="J23" s="24" t="s">
        <v>25</v>
      </c>
      <c r="K23" s="24" t="s">
        <v>26</v>
      </c>
      <c r="L23" s="24" t="s">
        <v>24</v>
      </c>
      <c r="M23" s="24" t="s">
        <v>23</v>
      </c>
      <c r="N23" s="12" t="s">
        <v>24</v>
      </c>
      <c r="O23" s="24" t="s">
        <v>27</v>
      </c>
      <c r="P23" s="24" t="s">
        <v>26</v>
      </c>
      <c r="Q23" s="24" t="s">
        <v>25</v>
      </c>
      <c r="R23" s="24" t="s">
        <v>27</v>
      </c>
      <c r="S23" s="24" t="s">
        <v>27</v>
      </c>
      <c r="T23" s="24" t="s">
        <v>26</v>
      </c>
      <c r="U23" s="12" t="s">
        <v>24</v>
      </c>
      <c r="V23" s="24" t="s">
        <v>22</v>
      </c>
      <c r="W23" s="24" t="s">
        <v>22</v>
      </c>
      <c r="X23" s="24" t="s">
        <v>25</v>
      </c>
      <c r="Y23" s="24" t="s">
        <v>26</v>
      </c>
      <c r="Z23" s="24" t="s">
        <v>22</v>
      </c>
      <c r="AA23" s="24" t="s">
        <v>25</v>
      </c>
      <c r="AB23" s="12" t="s">
        <v>24</v>
      </c>
      <c r="AC23" s="24" t="s">
        <v>22</v>
      </c>
      <c r="AD23" s="24" t="s">
        <v>26</v>
      </c>
      <c r="AE23" s="24" t="s">
        <v>25</v>
      </c>
      <c r="AF23" s="24" t="s">
        <v>28</v>
      </c>
      <c r="AG23" s="12" t="s">
        <v>24</v>
      </c>
      <c r="AH23" s="24" t="s">
        <v>25</v>
      </c>
      <c r="AI23" s="24" t="s">
        <v>23</v>
      </c>
      <c r="AJ23" s="24" t="s">
        <v>25</v>
      </c>
      <c r="AK23" s="24" t="s">
        <v>28</v>
      </c>
      <c r="AL23" s="12" t="s">
        <v>24</v>
      </c>
      <c r="AM23" s="24" t="s">
        <v>22</v>
      </c>
      <c r="AN23" s="24" t="s">
        <v>24</v>
      </c>
      <c r="AO23" s="24" t="s">
        <v>22</v>
      </c>
      <c r="AP23" s="24" t="s">
        <v>28</v>
      </c>
    </row>
    <row r="24" spans="1:53" x14ac:dyDescent="0.25">
      <c r="A24" s="1" t="s">
        <v>36</v>
      </c>
      <c r="B24" s="2">
        <f>AVERAGE(B3:B23)</f>
        <v>27.80952380952381</v>
      </c>
      <c r="C24" s="2">
        <f t="shared" ref="C24" si="0">AVERAGE(C3:C23)</f>
        <v>3.5714285714285716</v>
      </c>
      <c r="D24" s="2">
        <f>VALUE(MID(D3,2,99))</f>
        <v>6</v>
      </c>
      <c r="E24" s="2">
        <f t="shared" ref="E24:AP24" si="1">VALUE(MID(E3,2,99))</f>
        <v>2</v>
      </c>
      <c r="F24" s="2">
        <f t="shared" si="1"/>
        <v>1</v>
      </c>
      <c r="G24" s="3">
        <f t="shared" si="1"/>
        <v>1</v>
      </c>
      <c r="H24" s="19">
        <f t="shared" si="1"/>
        <v>5</v>
      </c>
      <c r="I24" s="19">
        <f t="shared" si="1"/>
        <v>4</v>
      </c>
      <c r="J24" s="19">
        <f t="shared" si="1"/>
        <v>5</v>
      </c>
      <c r="K24" s="19">
        <f t="shared" si="1"/>
        <v>1</v>
      </c>
      <c r="L24" s="19">
        <f t="shared" si="1"/>
        <v>4</v>
      </c>
      <c r="M24" s="19">
        <f t="shared" si="1"/>
        <v>2</v>
      </c>
      <c r="N24" s="3">
        <f t="shared" si="1"/>
        <v>1</v>
      </c>
      <c r="O24" s="2">
        <f>VALUE(MID(O3,2,99))</f>
        <v>3</v>
      </c>
      <c r="P24" s="2">
        <f>VALUE(MID(P3,2,99))</f>
        <v>4</v>
      </c>
      <c r="Q24" s="2">
        <f t="shared" si="1"/>
        <v>5</v>
      </c>
      <c r="R24" s="2">
        <f t="shared" si="1"/>
        <v>5</v>
      </c>
      <c r="S24" s="2">
        <f t="shared" si="1"/>
        <v>4</v>
      </c>
      <c r="T24" s="2">
        <f t="shared" si="1"/>
        <v>4</v>
      </c>
      <c r="U24" s="3">
        <f t="shared" si="1"/>
        <v>1</v>
      </c>
      <c r="V24" s="2">
        <f t="shared" si="1"/>
        <v>1</v>
      </c>
      <c r="W24" s="2">
        <f t="shared" si="1"/>
        <v>3</v>
      </c>
      <c r="X24" s="2">
        <f t="shared" si="1"/>
        <v>4</v>
      </c>
      <c r="Y24" s="2">
        <f t="shared" si="1"/>
        <v>4</v>
      </c>
      <c r="Z24" s="2">
        <f t="shared" si="1"/>
        <v>4</v>
      </c>
      <c r="AA24" s="2">
        <f t="shared" si="1"/>
        <v>5</v>
      </c>
      <c r="AB24" s="3">
        <f t="shared" si="1"/>
        <v>1</v>
      </c>
      <c r="AC24" s="2">
        <f t="shared" si="1"/>
        <v>3</v>
      </c>
      <c r="AD24" s="2">
        <f t="shared" si="1"/>
        <v>5</v>
      </c>
      <c r="AE24" s="2">
        <f t="shared" si="1"/>
        <v>2</v>
      </c>
      <c r="AF24" s="2">
        <f t="shared" si="1"/>
        <v>6</v>
      </c>
      <c r="AG24" s="3">
        <f t="shared" si="1"/>
        <v>1</v>
      </c>
      <c r="AH24" s="2">
        <f t="shared" si="1"/>
        <v>5</v>
      </c>
      <c r="AI24" s="2">
        <f t="shared" si="1"/>
        <v>3</v>
      </c>
      <c r="AJ24" s="2">
        <f t="shared" si="1"/>
        <v>4</v>
      </c>
      <c r="AK24" s="2">
        <f t="shared" si="1"/>
        <v>7</v>
      </c>
      <c r="AL24" s="3">
        <f t="shared" si="1"/>
        <v>1</v>
      </c>
      <c r="AM24" s="2">
        <f t="shared" si="1"/>
        <v>5</v>
      </c>
      <c r="AN24" s="2">
        <f t="shared" si="1"/>
        <v>5</v>
      </c>
      <c r="AO24" s="2">
        <f t="shared" si="1"/>
        <v>5</v>
      </c>
      <c r="AP24" s="4">
        <f t="shared" si="1"/>
        <v>4</v>
      </c>
    </row>
    <row r="25" spans="1:53" ht="15.75" thickBot="1" x14ac:dyDescent="0.3">
      <c r="A25" s="5" t="s">
        <v>37</v>
      </c>
      <c r="B25" s="6"/>
      <c r="C25" s="6"/>
      <c r="D25" s="6"/>
      <c r="E25" s="6"/>
      <c r="F25" s="6"/>
      <c r="G25" s="7"/>
      <c r="H25" s="6" t="s">
        <v>38</v>
      </c>
      <c r="I25" s="6" t="s">
        <v>39</v>
      </c>
      <c r="J25" s="6" t="s">
        <v>40</v>
      </c>
      <c r="K25" s="6" t="s">
        <v>41</v>
      </c>
      <c r="L25" s="6" t="s">
        <v>42</v>
      </c>
      <c r="M25" s="6" t="s">
        <v>43</v>
      </c>
      <c r="N25" s="7"/>
      <c r="O25" s="6" t="s">
        <v>44</v>
      </c>
      <c r="P25" s="6" t="s">
        <v>39</v>
      </c>
      <c r="Q25" s="6" t="s">
        <v>40</v>
      </c>
      <c r="R25" s="6" t="s">
        <v>45</v>
      </c>
      <c r="S25" s="6" t="s">
        <v>46</v>
      </c>
      <c r="T25" s="6" t="s">
        <v>47</v>
      </c>
      <c r="U25" s="7"/>
      <c r="V25" s="6" t="s">
        <v>48</v>
      </c>
      <c r="W25" s="6" t="s">
        <v>44</v>
      </c>
      <c r="X25" s="6" t="s">
        <v>49</v>
      </c>
      <c r="Y25" s="6" t="s">
        <v>50</v>
      </c>
      <c r="Z25" s="6" t="s">
        <v>51</v>
      </c>
      <c r="AA25" s="6" t="s">
        <v>52</v>
      </c>
      <c r="AB25" s="7"/>
      <c r="AC25" s="6"/>
      <c r="AD25" s="6"/>
      <c r="AE25" s="6"/>
      <c r="AF25" s="6"/>
      <c r="AG25" s="7"/>
      <c r="AH25" s="6"/>
      <c r="AI25" s="6"/>
      <c r="AJ25" s="6"/>
      <c r="AK25" s="6"/>
      <c r="AL25" s="7"/>
      <c r="AM25" s="6"/>
      <c r="AN25" s="6"/>
      <c r="AO25" s="6"/>
      <c r="AP25" s="8"/>
    </row>
    <row r="26" spans="1:53" x14ac:dyDescent="0.25">
      <c r="A26" s="9" t="s">
        <v>53</v>
      </c>
      <c r="B26" s="10"/>
      <c r="C26" s="10"/>
      <c r="D26" s="10"/>
      <c r="E26" s="10"/>
      <c r="F26" s="10"/>
      <c r="G26" s="3"/>
      <c r="H26" s="10" t="s">
        <v>23</v>
      </c>
      <c r="I26" s="10" t="s">
        <v>27</v>
      </c>
      <c r="J26" s="10" t="s">
        <v>25</v>
      </c>
      <c r="K26" s="10" t="s">
        <v>24</v>
      </c>
      <c r="L26" s="10" t="s">
        <v>24</v>
      </c>
      <c r="M26" s="10" t="s">
        <v>23</v>
      </c>
      <c r="N26" s="3"/>
      <c r="O26" s="10" t="s">
        <v>23</v>
      </c>
      <c r="P26" s="10" t="s">
        <v>27</v>
      </c>
      <c r="Q26" s="10" t="s">
        <v>25</v>
      </c>
      <c r="R26" s="10" t="s">
        <v>25</v>
      </c>
      <c r="S26" s="10" t="s">
        <v>25</v>
      </c>
      <c r="T26" s="10" t="s">
        <v>25</v>
      </c>
      <c r="U26" s="3"/>
      <c r="V26" s="10" t="s">
        <v>23</v>
      </c>
      <c r="W26" s="10" t="s">
        <v>27</v>
      </c>
      <c r="X26" s="10" t="s">
        <v>25</v>
      </c>
      <c r="Y26" s="10" t="s">
        <v>26</v>
      </c>
      <c r="Z26" s="10" t="s">
        <v>26</v>
      </c>
      <c r="AA26" s="10" t="s">
        <v>22</v>
      </c>
      <c r="AB26" s="3"/>
      <c r="AC26" s="10"/>
      <c r="AD26" s="10"/>
      <c r="AE26" s="10"/>
      <c r="AF26" s="10"/>
      <c r="AG26" s="3"/>
      <c r="AH26" s="10"/>
      <c r="AI26" s="10"/>
      <c r="AJ26" s="10"/>
      <c r="AK26" s="10"/>
      <c r="AL26" s="3"/>
      <c r="AM26" s="10"/>
      <c r="AN26" s="10"/>
      <c r="AO26" s="10"/>
      <c r="AP26" s="11"/>
    </row>
    <row r="27" spans="1:53" ht="15.75" thickBot="1" x14ac:dyDescent="0.3">
      <c r="A27" s="29" t="s">
        <v>54</v>
      </c>
      <c r="B27" s="30"/>
      <c r="C27" s="30"/>
      <c r="D27" s="30"/>
      <c r="E27" s="30"/>
      <c r="F27" s="30"/>
      <c r="G27" s="30"/>
      <c r="H27" s="30" t="s">
        <v>107</v>
      </c>
      <c r="I27" s="30" t="s">
        <v>55</v>
      </c>
      <c r="J27" s="30" t="s">
        <v>40</v>
      </c>
      <c r="K27" s="30" t="s">
        <v>41</v>
      </c>
      <c r="L27" s="30" t="s">
        <v>56</v>
      </c>
      <c r="M27" s="30" t="s">
        <v>122</v>
      </c>
      <c r="N27" s="30"/>
      <c r="O27" s="30" t="s">
        <v>57</v>
      </c>
      <c r="P27" s="30" t="s">
        <v>58</v>
      </c>
      <c r="Q27" s="30" t="s">
        <v>59</v>
      </c>
      <c r="R27" s="30" t="s">
        <v>60</v>
      </c>
      <c r="S27" s="30" t="s">
        <v>61</v>
      </c>
      <c r="T27" s="30" t="s">
        <v>123</v>
      </c>
      <c r="U27" s="30"/>
      <c r="V27" s="30" t="s">
        <v>57</v>
      </c>
      <c r="W27" s="30" t="s">
        <v>58</v>
      </c>
      <c r="X27" s="30" t="s">
        <v>59</v>
      </c>
      <c r="Y27" s="30" t="s">
        <v>63</v>
      </c>
      <c r="Z27" s="30" t="s">
        <v>64</v>
      </c>
      <c r="AA27" s="30" t="s">
        <v>62</v>
      </c>
      <c r="AB27" s="30"/>
      <c r="AC27" s="30"/>
      <c r="AD27" s="30"/>
      <c r="AE27" s="30"/>
      <c r="AF27" s="30"/>
      <c r="AG27" s="30"/>
      <c r="AH27" s="30"/>
      <c r="AI27" s="30"/>
      <c r="AJ27" s="30"/>
      <c r="AK27" s="30"/>
      <c r="AL27" s="30"/>
      <c r="AM27" s="30"/>
      <c r="AN27" s="30"/>
      <c r="AO27" s="30"/>
      <c r="AP27" s="31"/>
      <c r="AW27" s="33" t="s">
        <v>108</v>
      </c>
    </row>
    <row r="28" spans="1:53" ht="15.75" thickBot="1" x14ac:dyDescent="0.3">
      <c r="A28" t="s">
        <v>24</v>
      </c>
      <c r="H28" t="str">
        <f>IFERROR(_xlfn.XLOOKUP(_xlfn.XLOOKUP($A28,H$3:H$23,$A$3:$A$23),utility!$A$3:$A$23,utility!H$3:H$23)&amp;" | "&amp;ROUND(COUNTIF(H$3:H$23,$A28)/21,3)*100&amp;"%","")</f>
        <v>20 - 25 m | 9,5%</v>
      </c>
      <c r="I28" t="str">
        <f>IFERROR(_xlfn.XLOOKUP(_xlfn.XLOOKUP($A28,I$3:I$23,$A$3:$A$23),utility!$A$3:$A$23,utility!I$3:I$23)&amp;" | "&amp;ROUND(COUNTIF(I$3:I$23,$A28)/21,3)*100&amp;"%","")</f>
        <v>20-25m | 4,8%</v>
      </c>
      <c r="J28">
        <v>0</v>
      </c>
      <c r="K28" t="str">
        <f>IFERROR(_xlfn.XLOOKUP(_xlfn.XLOOKUP($A28,K$3:K$23,$A$3:$A$23),utility!$A$3:$A$23,utility!K$3:K$23)&amp;" | "&amp;ROUND(COUNTIF(K$3:K$23,$A28)/21,3)*100&amp;"%","")</f>
        <v>Die Kiste vor dem Bett im Holzraum | 95,2%</v>
      </c>
      <c r="L28" t="str">
        <f>IFERROR(_xlfn.XLOOKUP(_xlfn.XLOOKUP($A28,L$3:L$23,$A$3:$A$23),utility!$A$3:$A$23,utility!L$3:L$23)&amp;" | "&amp;ROUND(COUNTIF(L$3:L$23,$A28)/21,3)*100&amp;"%","")</f>
        <v>Die Haustür vom Haus | 71,4%</v>
      </c>
      <c r="M28" t="str">
        <f>IFERROR(_xlfn.XLOOKUP(_xlfn.XLOOKUP($A28,M$3:M$23,$A$3:$A$23),utility!$A$3:$A$23,utility!M$3:M$23)&amp;" | "&amp;ROUND(COUNTIF(M$3:M$23,$A28)/21,3)*100&amp;"%","")</f>
        <v/>
      </c>
      <c r="N28" t="str">
        <f>IFERROR(_xlfn.XLOOKUP(_xlfn.XLOOKUP($A28,N$3:N$23,$A$3:$A$23),utility!$A$3:$A$23,utility!N$3:N$23)&amp;" | "&amp;ROUND(COUNTIF(N$3:N$23,$A28)/21,3)*100&amp;"%","")</f>
        <v>Ja ich hab das szenario gesehen und weiter | 100%</v>
      </c>
      <c r="O28" t="str">
        <f>IFERROR(_xlfn.XLOOKUP(_xlfn.XLOOKUP($A28,O$3:O$23,$A$3:$A$23),utility!$A$3:$A$23,utility!O$3:O$23)&amp;" | "&amp;ROUND(COUNTIF(O$3:O$23,$A28)/21,3)*100&amp;"%","")</f>
        <v>20-25m | 4,8%</v>
      </c>
      <c r="P28" t="str">
        <f>IFERROR(_xlfn.XLOOKUP(_xlfn.XLOOKUP($A28,P$3:P$23,$A$3:$A$23),utility!$A$3:$A$23,utility!P$3:P$23)&amp;" | "&amp;ROUND(COUNTIF(P$3:P$23,$A28)/21,3)*100&amp;"%","")</f>
        <v/>
      </c>
      <c r="Q28" t="str">
        <f>IFERROR(_xlfn.XLOOKUP(_xlfn.XLOOKUP($A28,Q$3:Q$23,$A$3:$A$23),utility!$A$3:$A$23,utility!Q$3:Q$23)&amp;" | "&amp;ROUND(COUNTIF(Q$3:Q$23,$A28)/21,3)*100&amp;"%","")</f>
        <v/>
      </c>
      <c r="R28" t="str">
        <f>IFERROR(_xlfn.XLOOKUP(_xlfn.XLOOKUP($A28,R$3:R$23,$A$3:$A$23),utility!$A$3:$A$23,utility!R$3:R$23)&amp;" | "&amp;ROUND(COUNTIF(R$3:R$23,$A28)/21,3)*100&amp;"%","")</f>
        <v/>
      </c>
      <c r="S28" t="str">
        <f>IFERROR(_xlfn.XLOOKUP(_xlfn.XLOOKUP($A28,S$3:S$23,$A$3:$A$23),utility!$A$3:$A$23,utility!S$3:S$23)&amp;" | "&amp;ROUND(COUNTIF(S$3:S$23,$A28)/21,3)*100&amp;"%","")</f>
        <v/>
      </c>
      <c r="T28" t="str">
        <f>IFERROR(_xlfn.XLOOKUP(_xlfn.XLOOKUP($A28,T$3:T$23,$A$3:$A$23),utility!$A$3:$A$23,utility!T$3:T$23)&amp;" | "&amp;ROUND(COUNTIF(T$3:T$23,$A28)/21,3)*100&amp;"%","")</f>
        <v/>
      </c>
      <c r="U28" t="str">
        <f>IFERROR(_xlfn.XLOOKUP(_xlfn.XLOOKUP($A28,U$3:U$23,$A$3:$A$23),utility!$A$3:$A$23,utility!U$3:U$23)&amp;" | "&amp;ROUND(COUNTIF(U$3:U$23,$A28)/21,3)*100&amp;"%","")</f>
        <v>Ja ich hab das szenario gesehen und weiter | 100%</v>
      </c>
      <c r="V28" t="str">
        <f>IFERROR(_xlfn.XLOOKUP(_xlfn.XLOOKUP($A28,V$3:V$23,$A$3:$A$23),utility!$A$3:$A$23,utility!V$3:V$23)&amp;" | "&amp;ROUND(COUNTIF(V$3:V$23,$A28)/21,3)*100&amp;"%","")</f>
        <v>20-25m | 14,3%</v>
      </c>
      <c r="W28" t="str">
        <f>IFERROR(_xlfn.XLOOKUP(_xlfn.XLOOKUP($A28,W$3:W$23,$A$3:$A$23),utility!$A$3:$A$23,utility!W$3:W$23)&amp;" | "&amp;ROUND(COUNTIF(W$3:W$23,$A28)/21,3)*100&amp;"%","")</f>
        <v/>
      </c>
      <c r="X28" t="str">
        <f>IFERROR(_xlfn.XLOOKUP(_xlfn.XLOOKUP($A28,X$3:X$23,$A$3:$A$23),utility!$A$3:$A$23,utility!X$3:X$23)&amp;" | "&amp;ROUND(COUNTIF(X$3:X$23,$A28)/21,3)*100&amp;"%","")</f>
        <v/>
      </c>
      <c r="Y28" t="str">
        <f>IFERROR(_xlfn.XLOOKUP(_xlfn.XLOOKUP($A28,Y$3:Y$23,$A$3:$A$23),utility!$A$3:$A$23,utility!Y$3:Y$23)&amp;" | "&amp;ROUND(COUNTIF(Y$3:Y$23,$A28)/21,3)*100&amp;"%","")</f>
        <v/>
      </c>
      <c r="Z28" t="str">
        <f>IFERROR(_xlfn.XLOOKUP(_xlfn.XLOOKUP($A28,Z$3:Z$23,$A$3:$A$23),utility!$A$3:$A$23,utility!Z$3:Z$23)&amp;" | "&amp;ROUND(COUNTIF(Z$3:Z$23,$A28)/21,3)*100&amp;"%","")</f>
        <v/>
      </c>
      <c r="AA28" t="str">
        <f>IFERROR(_xlfn.XLOOKUP(_xlfn.XLOOKUP($A28,AA$3:AA$23,$A$3:$A$23),utility!$A$3:$A$23,utility!AA$3:AA$23)&amp;" | "&amp;ROUND(COUNTIF(AA$3:AA$23,$A28)/21,3)*100&amp;"%","")</f>
        <v/>
      </c>
      <c r="AB28" t="str">
        <f>IFERROR(_xlfn.XLOOKUP(_xlfn.XLOOKUP($A28,AB$3:AB$23,$A$3:$A$23),utility!$A$3:$A$23,utility!AB$3:AB$23)&amp;" | "&amp;ROUND(COUNTIF(AB$3:AB$23,$A28)/21,3)*100&amp;"%","")</f>
        <v>Ja ich hab das szenario gesehen und weiter | 100%</v>
      </c>
      <c r="AC28" t="str">
        <f>IFERROR(_xlfn.XLOOKUP(_xlfn.XLOOKUP($A28,AC$3:AC$23,$A$3:$A$23),utility!$A$3:$A$23,utility!AC$3:AC$23)&amp;" | "&amp;ROUND(COUNTIF(AC$3:AC$23,$A28)/21,3)*100&amp;"%","")</f>
        <v/>
      </c>
      <c r="AD28" t="str">
        <f>IFERROR(_xlfn.XLOOKUP(_xlfn.XLOOKUP($A28,AD$3:AD$23,$A$3:$A$23),utility!$A$3:$A$23,utility!AD$3:AD$23)&amp;" | "&amp;ROUND(COUNTIF(AD$3:AD$23,$A28)/21,3)*100&amp;"%","")</f>
        <v>1 | 23,8%</v>
      </c>
      <c r="AE28" t="str">
        <f>IFERROR(_xlfn.XLOOKUP(_xlfn.XLOOKUP($A28,AE$3:AE$23,$A$3:$A$23),utility!$A$3:$A$23,utility!AE$3:AE$23)&amp;" | "&amp;ROUND(COUNTIF(AE$3:AE$23,$A28)/21,3)*100&amp;"%","")</f>
        <v>1 | 9,5%</v>
      </c>
      <c r="AF28" t="str">
        <f>IFERROR(_xlfn.XLOOKUP(_xlfn.XLOOKUP($A28,AF$3:AF$23,$A$3:$A$23),utility!$A$3:$A$23,utility!AF$3:AF$23)&amp;" | "&amp;ROUND(COUNTIF(AF$3:AF$23,$A28)/21,3)*100&amp;"%","")</f>
        <v>1 | 14,3%</v>
      </c>
      <c r="AG28" t="str">
        <f>IFERROR(_xlfn.XLOOKUP(_xlfn.XLOOKUP($A28,AG$3:AG$23,$A$3:$A$23),utility!$A$3:$A$23,utility!AG$3:AG$23)&amp;" | "&amp;ROUND(COUNTIF(AG$3:AG$23,$A28)/21,3)*100&amp;"%","")</f>
        <v>Ja ich hab das szenario gesehen und weiter | 100%</v>
      </c>
      <c r="AH28" t="str">
        <f>IFERROR(_xlfn.XLOOKUP(_xlfn.XLOOKUP($A28,AH$3:AH$23,$A$3:$A$23),utility!$A$3:$A$23,utility!AH$3:AH$23)&amp;" | "&amp;ROUND(COUNTIF(AH$3:AH$23,$A28)/21,3)*100&amp;"%","")</f>
        <v/>
      </c>
      <c r="AI28" t="str">
        <f>IFERROR(_xlfn.XLOOKUP(_xlfn.XLOOKUP($A28,AI$3:AI$23,$A$3:$A$23),utility!$A$3:$A$23,utility!AI$3:AI$23)&amp;" | "&amp;ROUND(COUNTIF(AI$3:AI$23,$A28)/21,3)*100&amp;"%","")</f>
        <v>1 | 42,9%</v>
      </c>
      <c r="AJ28" t="str">
        <f>IFERROR(_xlfn.XLOOKUP(_xlfn.XLOOKUP($A28,AJ$3:AJ$23,$A$3:$A$23),utility!$A$3:$A$23,utility!AJ$3:AJ$23)&amp;" | "&amp;ROUND(COUNTIF(AJ$3:AJ$23,$A28)/21,3)*100&amp;"%","")</f>
        <v>1 | 4,8%</v>
      </c>
      <c r="AK28" t="str">
        <f>IFERROR(_xlfn.XLOOKUP(_xlfn.XLOOKUP($A28,AK$3:AK$23,$A$3:$A$23),utility!$A$3:$A$23,utility!AK$3:AK$23)&amp;" | "&amp;ROUND(COUNTIF(AK$3:AK$23,$A28)/21,3)*100&amp;"%","")</f>
        <v>1 | 9,5%</v>
      </c>
      <c r="AL28" t="str">
        <f>IFERROR(_xlfn.XLOOKUP(_xlfn.XLOOKUP($A28,AL$3:AL$23,$A$3:$A$23),utility!$A$3:$A$23,utility!AL$3:AL$23)&amp;" | "&amp;ROUND(COUNTIF(AL$3:AL$23,$A28)/21,3)*100&amp;"%","")</f>
        <v>Ja ich hab das szenario gesehen und weiter | 100%</v>
      </c>
      <c r="AM28" t="str">
        <f>IFERROR(_xlfn.XLOOKUP(_xlfn.XLOOKUP($A28,AM$3:AM$23,$A$3:$A$23),utility!$A$3:$A$23,utility!AM$3:AM$23)&amp;" | "&amp;ROUND(COUNTIF(AM$3:AM$23,$A28)/21,3)*100&amp;"%","")</f>
        <v/>
      </c>
      <c r="AN28" t="str">
        <f>IFERROR(_xlfn.XLOOKUP(_xlfn.XLOOKUP($A28,AN$3:AN$23,$A$3:$A$23),utility!$A$3:$A$23,utility!AN$3:AN$23)&amp;" | "&amp;ROUND(COUNTIF(AN$3:AN$23,$A28)/21,3)*100&amp;"%","")</f>
        <v>1 | 66,7%</v>
      </c>
      <c r="AO28" t="str">
        <f>IFERROR(_xlfn.XLOOKUP(_xlfn.XLOOKUP($A28,AO$3:AO$23,$A$3:$A$23),utility!$A$3:$A$23,utility!AO$3:AO$23)&amp;" | "&amp;ROUND(COUNTIF(AO$3:AO$23,$A28)/21,3)*100&amp;"%","")</f>
        <v/>
      </c>
      <c r="AP28" t="str">
        <f>IFERROR(_xlfn.XLOOKUP(_xlfn.XLOOKUP($A28,AP$3:AP$23,$A$3:$A$23),utility!$A$3:$A$23,utility!AP$3:AP$23)&amp;" | "&amp;ROUND(COUNTIF(AP$3:AP$23,$A28)/21,3)*100&amp;"%","")</f>
        <v>1 | 19%</v>
      </c>
      <c r="AW28" s="34" t="s">
        <v>109</v>
      </c>
      <c r="AX28" s="35" t="s">
        <v>110</v>
      </c>
      <c r="AY28" s="35" t="s">
        <v>111</v>
      </c>
      <c r="AZ28" s="35" t="s">
        <v>117</v>
      </c>
      <c r="BA28" s="36" t="s">
        <v>112</v>
      </c>
    </row>
    <row r="29" spans="1:53" x14ac:dyDescent="0.25">
      <c r="A29" t="s">
        <v>23</v>
      </c>
      <c r="H29" t="str">
        <f>IFERROR(_xlfn.XLOOKUP(_xlfn.XLOOKUP($A29,H$3:H$23,$A$3:$A$23),utility!$A$3:$A$23,utility!H$3:H$23)&amp;" | "&amp;ROUND(COUNTIF(H$3:H$23,$A29)/21,3)*100&amp;"%","")</f>
        <v>15 - 20 m | 23,8%</v>
      </c>
      <c r="I29">
        <v>0</v>
      </c>
      <c r="J29">
        <v>0</v>
      </c>
      <c r="K29" t="str">
        <f>IFERROR(_xlfn.XLOOKUP(_xlfn.XLOOKUP($A29,K$3:K$23,$A$3:$A$23),utility!$A$3:$A$23,utility!K$3:K$23)&amp;" | "&amp;ROUND(COUNTIF(K$3:K$23,$A29)/21,3)*100&amp;"%","")</f>
        <v/>
      </c>
      <c r="L29" t="str">
        <f>IFERROR(_xlfn.XLOOKUP(_xlfn.XLOOKUP($A29,L$3:L$23,$A$3:$A$23),utility!$A$3:$A$23,utility!L$3:L$23)&amp;" | "&amp;ROUND(COUNTIF(L$3:L$23,$A29)/21,3)*100&amp;"%","")</f>
        <v>Die gelbe Ente im Pavillon | 4,8%</v>
      </c>
      <c r="M29" t="str">
        <f>IFERROR(_xlfn.XLOOKUP(_xlfn.XLOOKUP($A29,M$3:M$23,$A$3:$A$23),utility!$A$3:$A$23,utility!M$3:M$23)&amp;" | "&amp;ROUND(COUNTIF(M$3:M$23,$A29)/21,3)*100&amp;"%","")</f>
        <v>Die Säule im grauen Bereich | 90,5%</v>
      </c>
      <c r="N29" t="str">
        <f>IFERROR(_xlfn.XLOOKUP(_xlfn.XLOOKUP($A29,N$3:N$23,$A$3:$A$23),utility!$A$3:$A$23,utility!N$3:N$23)&amp;" | "&amp;ROUND(COUNTIF(N$3:N$23,$A29)/21,3)*100&amp;"%","")</f>
        <v/>
      </c>
      <c r="O29" s="32" t="str">
        <f>IFERROR(_xlfn.XLOOKUP(_xlfn.XLOOKUP($A29,O$3:O$23,$A$3:$A$23),utility!$A$3:$A$23,utility!O$3:O$23)&amp;" | "&amp;ROUND(COUNTIF(O$3:O$23,$A29)/21,3)*100&amp;"%","")</f>
        <v>15-20m | 33,3%</v>
      </c>
      <c r="P29" t="str">
        <f>IFERROR(_xlfn.XLOOKUP(_xlfn.XLOOKUP($A29,P$3:P$23,$A$3:$A$23),utility!$A$3:$A$23,utility!P$3:P$23)&amp;" | "&amp;ROUND(COUNTIF(P$3:P$23,$A29)/21,3)*100&amp;"%","")</f>
        <v>15-20m | 9,5%</v>
      </c>
      <c r="Q29" t="str">
        <f>IFERROR(_xlfn.XLOOKUP(_xlfn.XLOOKUP($A29,Q$3:Q$23,$A$3:$A$23),utility!$A$3:$A$23,utility!Q$3:Q$23)&amp;" | "&amp;ROUND(COUNTIF(Q$3:Q$23,$A29)/21,3)*100&amp;"%","")</f>
        <v/>
      </c>
      <c r="R29" t="str">
        <f>IFERROR(_xlfn.XLOOKUP(_xlfn.XLOOKUP($A29,R$3:R$23,$A$3:$A$23),utility!$A$3:$A$23,utility!R$3:R$23)&amp;" | "&amp;ROUND(COUNTIF(R$3:R$23,$A29)/21,3)*100&amp;"%","")</f>
        <v/>
      </c>
      <c r="S29" t="str">
        <f>IFERROR(_xlfn.XLOOKUP(_xlfn.XLOOKUP($A29,S$3:S$23,$A$3:$A$23),utility!$A$3:$A$23,utility!S$3:S$23)&amp;" | "&amp;ROUND(COUNTIF(S$3:S$23,$A29)/21,3)*100&amp;"%","")</f>
        <v/>
      </c>
      <c r="T29" t="str">
        <f>IFERROR(_xlfn.XLOOKUP(_xlfn.XLOOKUP($A29,T$3:T$23,$A$3:$A$23),utility!$A$3:$A$23,utility!T$3:T$23)&amp;" | "&amp;ROUND(COUNTIF(T$3:T$23,$A29)/21,3)*100&amp;"%","")</f>
        <v/>
      </c>
      <c r="U29" t="str">
        <f>IFERROR(_xlfn.XLOOKUP(_xlfn.XLOOKUP($A29,U$3:U$23,$A$3:$A$23),utility!$A$3:$A$23,utility!U$3:U$23)&amp;" | "&amp;ROUND(COUNTIF(U$3:U$23,$A29)/21,3)*100&amp;"%","")</f>
        <v/>
      </c>
      <c r="V29" s="32" t="str">
        <f>IFERROR(_xlfn.XLOOKUP(_xlfn.XLOOKUP($A29,V$3:V$23,$A$3:$A$23),utility!$A$3:$A$23,utility!V$3:V$23)&amp;" | "&amp;ROUND(COUNTIF(V$3:V$23,$A29)/21,3)*100&amp;"%","")</f>
        <v>15-20m | 23,8%</v>
      </c>
      <c r="W29" t="str">
        <f>IFERROR(_xlfn.XLOOKUP(_xlfn.XLOOKUP($A29,W$3:W$23,$A$3:$A$23),utility!$A$3:$A$23,utility!W$3:W$23)&amp;" | "&amp;ROUND(COUNTIF(W$3:W$23,$A29)/21,3)*100&amp;"%","")</f>
        <v/>
      </c>
      <c r="X29" t="str">
        <f>IFERROR(_xlfn.XLOOKUP(_xlfn.XLOOKUP($A29,X$3:X$23,$A$3:$A$23),utility!$A$3:$A$23,utility!X$3:X$23)&amp;" | "&amp;ROUND(COUNTIF(X$3:X$23,$A29)/21,3)*100&amp;"%","")</f>
        <v/>
      </c>
      <c r="Y29" t="str">
        <f>IFERROR(_xlfn.XLOOKUP(_xlfn.XLOOKUP($A29,Y$3:Y$23,$A$3:$A$23),utility!$A$3:$A$23,utility!Y$3:Y$23)&amp;" | "&amp;ROUND(COUNTIF(Y$3:Y$23,$A29)/21,3)*100&amp;"%","")</f>
        <v/>
      </c>
      <c r="Z29" t="str">
        <f>IFERROR(_xlfn.XLOOKUP(_xlfn.XLOOKUP($A29,Z$3:Z$23,$A$3:$A$23),utility!$A$3:$A$23,utility!Z$3:Z$23)&amp;" | "&amp;ROUND(COUNTIF(Z$3:Z$23,$A29)/21,3)*100&amp;"%","")</f>
        <v/>
      </c>
      <c r="AA29" t="str">
        <f>IFERROR(_xlfn.XLOOKUP(_xlfn.XLOOKUP($A29,AA$3:AA$23,$A$3:$A$23),utility!$A$3:$A$23,utility!AA$3:AA$23)&amp;" | "&amp;ROUND(COUNTIF(AA$3:AA$23,$A29)/21,3)*100&amp;"%","")</f>
        <v/>
      </c>
      <c r="AB29" t="str">
        <f>IFERROR(_xlfn.XLOOKUP(_xlfn.XLOOKUP($A29,AB$3:AB$23,$A$3:$A$23),utility!$A$3:$A$23,utility!AB$3:AB$23)&amp;" | "&amp;ROUND(COUNTIF(AB$3:AB$23,$A29)/21,3)*100&amp;"%","")</f>
        <v/>
      </c>
      <c r="AC29" t="str">
        <f>IFERROR(_xlfn.XLOOKUP(_xlfn.XLOOKUP($A29,AC$3:AC$23,$A$3:$A$23),utility!$A$3:$A$23,utility!AC$3:AC$23)&amp;" | "&amp;ROUND(COUNTIF(AC$3:AC$23,$A29)/21,3)*100&amp;"%","")</f>
        <v>2 | 4,8%</v>
      </c>
      <c r="AD29" t="str">
        <f>IFERROR(_xlfn.XLOOKUP(_xlfn.XLOOKUP($A29,AD$3:AD$23,$A$3:$A$23),utility!$A$3:$A$23,utility!AD$3:AD$23)&amp;" | "&amp;ROUND(COUNTIF(AD$3:AD$23,$A29)/21,3)*100&amp;"%","")</f>
        <v>2 | 4,8%</v>
      </c>
      <c r="AE29" t="str">
        <f>IFERROR(_xlfn.XLOOKUP(_xlfn.XLOOKUP($A29,AE$3:AE$23,$A$3:$A$23),utility!$A$3:$A$23,utility!AE$3:AE$23)&amp;" | "&amp;ROUND(COUNTIF(AE$3:AE$23,$A29)/21,3)*100&amp;"%","")</f>
        <v>2 | 28,6%</v>
      </c>
      <c r="AF29" t="str">
        <f>IFERROR(_xlfn.XLOOKUP(_xlfn.XLOOKUP($A29,AF$3:AF$23,$A$3:$A$23),utility!$A$3:$A$23,utility!AF$3:AF$23)&amp;" | "&amp;ROUND(COUNTIF(AF$3:AF$23,$A29)/21,3)*100&amp;"%","")</f>
        <v>2 | 4,8%</v>
      </c>
      <c r="AG29" t="str">
        <f>IFERROR(_xlfn.XLOOKUP(_xlfn.XLOOKUP($A29,AG$3:AG$23,$A$3:$A$23),utility!$A$3:$A$23,utility!AG$3:AG$23)&amp;" | "&amp;ROUND(COUNTIF(AG$3:AG$23,$A29)/21,3)*100&amp;"%","")</f>
        <v/>
      </c>
      <c r="AH29" t="str">
        <f>IFERROR(_xlfn.XLOOKUP(_xlfn.XLOOKUP($A29,AH$3:AH$23,$A$3:$A$23),utility!$A$3:$A$23,utility!AH$3:AH$23)&amp;" | "&amp;ROUND(COUNTIF(AH$3:AH$23,$A29)/21,3)*100&amp;"%","")</f>
        <v>2 | 4,8%</v>
      </c>
      <c r="AI29" t="str">
        <f>IFERROR(_xlfn.XLOOKUP(_xlfn.XLOOKUP($A29,AI$3:AI$23,$A$3:$A$23),utility!$A$3:$A$23,utility!AI$3:AI$23)&amp;" | "&amp;ROUND(COUNTIF(AI$3:AI$23,$A29)/21,3)*100&amp;"%","")</f>
        <v>2 | 19%</v>
      </c>
      <c r="AJ29" t="str">
        <f>IFERROR(_xlfn.XLOOKUP(_xlfn.XLOOKUP($A29,AJ$3:AJ$23,$A$3:$A$23),utility!$A$3:$A$23,utility!AJ$3:AJ$23)&amp;" | "&amp;ROUND(COUNTIF(AJ$3:AJ$23,$A29)/21,3)*100&amp;"%","")</f>
        <v>2 | 4,8%</v>
      </c>
      <c r="AK29" t="str">
        <f>IFERROR(_xlfn.XLOOKUP(_xlfn.XLOOKUP($A29,AK$3:AK$23,$A$3:$A$23),utility!$A$3:$A$23,utility!AK$3:AK$23)&amp;" | "&amp;ROUND(COUNTIF(AK$3:AK$23,$A29)/21,3)*100&amp;"%","")</f>
        <v>2 | 9,5%</v>
      </c>
      <c r="AL29" t="str">
        <f>IFERROR(_xlfn.XLOOKUP(_xlfn.XLOOKUP($A29,AL$3:AL$23,$A$3:$A$23),utility!$A$3:$A$23,utility!AL$3:AL$23)&amp;" | "&amp;ROUND(COUNTIF(AL$3:AL$23,$A29)/21,3)*100&amp;"%","")</f>
        <v/>
      </c>
      <c r="AM29" t="str">
        <f>IFERROR(_xlfn.XLOOKUP(_xlfn.XLOOKUP($A29,AM$3:AM$23,$A$3:$A$23),utility!$A$3:$A$23,utility!AM$3:AM$23)&amp;" | "&amp;ROUND(COUNTIF(AM$3:AM$23,$A29)/21,3)*100&amp;"%","")</f>
        <v/>
      </c>
      <c r="AN29" t="str">
        <f>IFERROR(_xlfn.XLOOKUP(_xlfn.XLOOKUP($A29,AN$3:AN$23,$A$3:$A$23),utility!$A$3:$A$23,utility!AN$3:AN$23)&amp;" | "&amp;ROUND(COUNTIF(AN$3:AN$23,$A29)/21,3)*100&amp;"%","")</f>
        <v>2 | 14,3%</v>
      </c>
      <c r="AO29" t="str">
        <f>IFERROR(_xlfn.XLOOKUP(_xlfn.XLOOKUP($A29,AO$3:AO$23,$A$3:$A$23),utility!$A$3:$A$23,utility!AO$3:AO$23)&amp;" | "&amp;ROUND(COUNTIF(AO$3:AO$23,$A29)/21,3)*100&amp;"%","")</f>
        <v>2 | 4,8%</v>
      </c>
      <c r="AP29" t="str">
        <f>IFERROR(_xlfn.XLOOKUP(_xlfn.XLOOKUP($A29,AP$3:AP$23,$A$3:$A$23),utility!$A$3:$A$23,utility!AP$3:AP$23)&amp;" | "&amp;ROUND(COUNTIF(AP$3:AP$23,$A29)/21,3)*100&amp;"%","")</f>
        <v/>
      </c>
      <c r="AW29" s="38" t="s">
        <v>113</v>
      </c>
      <c r="AX29" s="39" t="s">
        <v>116</v>
      </c>
      <c r="AY29" s="40" t="e">
        <f>AVERAGE(_xlfn.TEXTAFTER(AX16,"| "),_xlfn.TEXTAFTER(AY17,"| "),_xlfn.TEXTAFTER(AZ19,"| "))</f>
        <v>#N/A</v>
      </c>
      <c r="AZ29" s="41" t="e">
        <f>AVERAGE(AX23,AY23,AZ23)</f>
        <v>#DIV/0!</v>
      </c>
      <c r="BA29" s="42" t="e">
        <f>SUM(100%-AZ29)</f>
        <v>#DIV/0!</v>
      </c>
    </row>
    <row r="30" spans="1:53" x14ac:dyDescent="0.25">
      <c r="A30" t="s">
        <v>27</v>
      </c>
      <c r="H30" t="str">
        <f>IFERROR(_xlfn.XLOOKUP(_xlfn.XLOOKUP($A30,H$3:H$23,$A$3:$A$23),utility!$A$3:$A$23,utility!H$3:H$23)&amp;" | "&amp;ROUND(COUNTIF(H$3:H$23,$A30)/21,3)*100&amp;"%","")</f>
        <v>10 - 15 m | 38,1%</v>
      </c>
      <c r="I30" t="str">
        <f>IFERROR(_xlfn.XLOOKUP(_xlfn.XLOOKUP($A30,I$3:I$23,$A$3:$A$23),utility!$A$3:$A$23,utility!I$3:I$23)&amp;" | "&amp;ROUND(COUNTIF(I$3:I$23,$A30)/21,3)*100&amp;"%","")</f>
        <v>10-15m | 23,8%</v>
      </c>
      <c r="J30" t="str">
        <f>IFERROR(_xlfn.XLOOKUP(_xlfn.XLOOKUP($A30,J$3:J$23,$A$3:$A$23),utility!$A$3:$A$23,utility!J$3:J$23)&amp;" | "&amp;ROUND(COUNTIF(J$3:J$23,$A30)/21,3)*100&amp;"%","")</f>
        <v>10-15m | 4,8%</v>
      </c>
      <c r="K30" t="str">
        <f>IFERROR(_xlfn.XLOOKUP(_xlfn.XLOOKUP($A30,K$3:K$23,$A$3:$A$23),utility!$A$3:$A$23,utility!K$3:K$23)&amp;" | "&amp;ROUND(COUNTIF(K$3:K$23,$A30)/21,3)*100&amp;"%","")</f>
        <v/>
      </c>
      <c r="L30" t="str">
        <f>IFERROR(_xlfn.XLOOKUP(_xlfn.XLOOKUP($A30,L$3:L$23,$A$3:$A$23),utility!$A$3:$A$23,utility!L$3:L$23)&amp;" | "&amp;ROUND(COUNTIF(L$3:L$23,$A30)/21,3)*100&amp;"%","")</f>
        <v/>
      </c>
      <c r="M30" t="str">
        <f>IFERROR(_xlfn.XLOOKUP(_xlfn.XLOOKUP($A30,M$3:M$23,$A$3:$A$23),utility!$A$3:$A$23,utility!M$3:M$23)&amp;" | "&amp;ROUND(COUNTIF(M$3:M$23,$A30)/21,3)*100&amp;"%","")</f>
        <v/>
      </c>
      <c r="N30" t="str">
        <f>IFERROR(_xlfn.XLOOKUP(_xlfn.XLOOKUP($A30,N$3:N$23,$A$3:$A$23),utility!$A$3:$A$23,utility!N$3:N$23)&amp;" | "&amp;ROUND(COUNTIF(N$3:N$23,$A30)/21,3)*100&amp;"%","")</f>
        <v/>
      </c>
      <c r="O30" t="str">
        <f>IFERROR(_xlfn.XLOOKUP(_xlfn.XLOOKUP($A30,O$3:O$23,$A$3:$A$23),utility!$A$3:$A$23,utility!O$3:O$23)&amp;" | "&amp;ROUND(COUNTIF(O$3:O$23,$A30)/21,3)*100&amp;"%","")</f>
        <v>10-15m | 47,6%</v>
      </c>
      <c r="P30" s="32" t="str">
        <f>IFERROR(_xlfn.XLOOKUP(_xlfn.XLOOKUP($A30,P$3:P$23,$A$3:$A$23),utility!$A$3:$A$23,utility!P$3:P$23)&amp;" | "&amp;ROUND(COUNTIF(P$3:P$23,$A30)/21,3)*100&amp;"%","")</f>
        <v>10-15m | 33,3%</v>
      </c>
      <c r="Q30" t="str">
        <f>IFERROR(_xlfn.XLOOKUP(_xlfn.XLOOKUP($A30,Q$3:Q$23,$A$3:$A$23),utility!$A$3:$A$23,utility!Q$3:Q$23)&amp;" | "&amp;ROUND(COUNTIF(Q$3:Q$23,$A30)/21,3)*100&amp;"%","")</f>
        <v/>
      </c>
      <c r="R30" t="str">
        <f>IFERROR(_xlfn.XLOOKUP(_xlfn.XLOOKUP($A30,R$3:R$23,$A$3:$A$23),utility!$A$3:$A$23,utility!R$3:R$23)&amp;" | "&amp;ROUND(COUNTIF(R$3:R$23,$A30)/21,3)*100&amp;"%","")</f>
        <v>Zu ungenau / Unsicher | 4,8%</v>
      </c>
      <c r="S30" t="str">
        <f>IFERROR(_xlfn.XLOOKUP(_xlfn.XLOOKUP($A30,S$3:S$23,$A$3:$A$23),utility!$A$3:$A$23,utility!S$3:S$23)&amp;" | "&amp;ROUND(COUNTIF(S$3:S$23,$A30)/21,3)*100&amp;"%","")</f>
        <v>Zu ungenau / Unsicher | 4,8%</v>
      </c>
      <c r="T30" t="str">
        <f>IFERROR(_xlfn.XLOOKUP(_xlfn.XLOOKUP($A30,T$3:T$23,$A$3:$A$23),utility!$A$3:$A$23,utility!T$3:T$23)&amp;" | "&amp;ROUND(COUNTIF(T$3:T$23,$A30)/21,3)*100&amp;"%","")</f>
        <v/>
      </c>
      <c r="U30" t="str">
        <f>IFERROR(_xlfn.XLOOKUP(_xlfn.XLOOKUP($A30,U$3:U$23,$A$3:$A$23),utility!$A$3:$A$23,utility!U$3:U$23)&amp;" | "&amp;ROUND(COUNTIF(U$3:U$23,$A30)/21,3)*100&amp;"%","")</f>
        <v/>
      </c>
      <c r="V30" t="str">
        <f>IFERROR(_xlfn.XLOOKUP(_xlfn.XLOOKUP($A30,V$3:V$23,$A$3:$A$23),utility!$A$3:$A$23,utility!V$3:V$23)&amp;" | "&amp;ROUND(COUNTIF(V$3:V$23,$A30)/21,3)*100&amp;"%","")</f>
        <v>10-15m | 42,9%</v>
      </c>
      <c r="W30" s="32" t="str">
        <f>IFERROR(_xlfn.XLOOKUP(_xlfn.XLOOKUP($A30,W$3:W$23,$A$3:$A$23),utility!$A$3:$A$23,utility!W$3:W$23)&amp;" | "&amp;ROUND(COUNTIF(W$3:W$23,$A30)/21,3)*100&amp;"%","")</f>
        <v>10-15m | 23,8%</v>
      </c>
      <c r="X30" t="str">
        <f>IFERROR(_xlfn.XLOOKUP(_xlfn.XLOOKUP($A30,X$3:X$23,$A$3:$A$23),utility!$A$3:$A$23,utility!X$3:X$23)&amp;" | "&amp;ROUND(COUNTIF(X$3:X$23,$A30)/21,3)*100&amp;"%","")</f>
        <v/>
      </c>
      <c r="Y30">
        <v>0</v>
      </c>
      <c r="Z30" t="str">
        <f>IFERROR(_xlfn.XLOOKUP(_xlfn.XLOOKUP($A30,Z$3:Z$23,$A$3:$A$23),utility!$A$3:$A$23,utility!Z$3:Z$23)&amp;" | "&amp;ROUND(COUNTIF(Z$3:Z$23,$A30)/21,3)*100&amp;"%","")</f>
        <v/>
      </c>
      <c r="AA30" t="str">
        <f>IFERROR(_xlfn.XLOOKUP(_xlfn.XLOOKUP($A30,AA$3:AA$23,$A$3:$A$23),utility!$A$3:$A$23,utility!AA$3:AA$23)&amp;" | "&amp;ROUND(COUNTIF(AA$3:AA$23,$A30)/21,3)*100&amp;"%","")</f>
        <v/>
      </c>
      <c r="AB30" t="str">
        <f>IFERROR(_xlfn.XLOOKUP(_xlfn.XLOOKUP($A30,AB$3:AB$23,$A$3:$A$23),utility!$A$3:$A$23,utility!AB$3:AB$23)&amp;" | "&amp;ROUND(COUNTIF(AB$3:AB$23,$A30)/21,3)*100&amp;"%","")</f>
        <v/>
      </c>
      <c r="AC30" t="str">
        <f>IFERROR(_xlfn.XLOOKUP(_xlfn.XLOOKUP($A30,AC$3:AC$23,$A$3:$A$23),utility!$A$3:$A$23,utility!AC$3:AC$23)&amp;" | "&amp;ROUND(COUNTIF(AC$3:AC$23,$A30)/21,3)*100&amp;"%","")</f>
        <v>3 | 19%</v>
      </c>
      <c r="AD30" t="str">
        <f>IFERROR(_xlfn.XLOOKUP(_xlfn.XLOOKUP($A30,AD$3:AD$23,$A$3:$A$23),utility!$A$3:$A$23,utility!AD$3:AD$23)&amp;" | "&amp;ROUND(COUNTIF(AD$3:AD$23,$A30)/21,3)*100&amp;"%","")</f>
        <v/>
      </c>
      <c r="AE30" t="str">
        <f>IFERROR(_xlfn.XLOOKUP(_xlfn.XLOOKUP($A30,AE$3:AE$23,$A$3:$A$23),utility!$A$3:$A$23,utility!AE$3:AE$23)&amp;" | "&amp;ROUND(COUNTIF(AE$3:AE$23,$A30)/21,3)*100&amp;"%","")</f>
        <v>3 | 4,8%</v>
      </c>
      <c r="AF30" t="str">
        <f>IFERROR(_xlfn.XLOOKUP(_xlfn.XLOOKUP($A30,AF$3:AF$23,$A$3:$A$23),utility!$A$3:$A$23,utility!AF$3:AF$23)&amp;" | "&amp;ROUND(COUNTIF(AF$3:AF$23,$A30)/21,3)*100&amp;"%","")</f>
        <v/>
      </c>
      <c r="AG30" t="str">
        <f>IFERROR(_xlfn.XLOOKUP(_xlfn.XLOOKUP($A30,AG$3:AG$23,$A$3:$A$23),utility!$A$3:$A$23,utility!AG$3:AG$23)&amp;" | "&amp;ROUND(COUNTIF(AG$3:AG$23,$A30)/21,3)*100&amp;"%","")</f>
        <v/>
      </c>
      <c r="AH30" t="str">
        <f>IFERROR(_xlfn.XLOOKUP(_xlfn.XLOOKUP($A30,AH$3:AH$23,$A$3:$A$23),utility!$A$3:$A$23,utility!AH$3:AH$23)&amp;" | "&amp;ROUND(COUNTIF(AH$3:AH$23,$A30)/21,3)*100&amp;"%","")</f>
        <v/>
      </c>
      <c r="AI30" t="str">
        <f>IFERROR(_xlfn.XLOOKUP(_xlfn.XLOOKUP($A30,AI$3:AI$23,$A$3:$A$23),utility!$A$3:$A$23,utility!AI$3:AI$23)&amp;" | "&amp;ROUND(COUNTIF(AI$3:AI$23,$A30)/21,3)*100&amp;"%","")</f>
        <v>3 | 9,5%</v>
      </c>
      <c r="AJ30" t="str">
        <f>IFERROR(_xlfn.XLOOKUP(_xlfn.XLOOKUP($A30,AJ$3:AJ$23,$A$3:$A$23),utility!$A$3:$A$23,utility!AJ$3:AJ$23)&amp;" | "&amp;ROUND(COUNTIF(AJ$3:AJ$23,$A30)/21,3)*100&amp;"%","")</f>
        <v>3 | 14,3%</v>
      </c>
      <c r="AK30" t="str">
        <f>IFERROR(_xlfn.XLOOKUP(_xlfn.XLOOKUP($A30,AK$3:AK$23,$A$3:$A$23),utility!$A$3:$A$23,utility!AK$3:AK$23)&amp;" | "&amp;ROUND(COUNTIF(AK$3:AK$23,$A30)/21,3)*100&amp;"%","")</f>
        <v>3 | 4,8%</v>
      </c>
      <c r="AL30" t="str">
        <f>IFERROR(_xlfn.XLOOKUP(_xlfn.XLOOKUP($A30,AL$3:AL$23,$A$3:$A$23),utility!$A$3:$A$23,utility!AL$3:AL$23)&amp;" | "&amp;ROUND(COUNTIF(AL$3:AL$23,$A30)/21,3)*100&amp;"%","")</f>
        <v/>
      </c>
      <c r="AM30" t="str">
        <f>IFERROR(_xlfn.XLOOKUP(_xlfn.XLOOKUP($A30,AM$3:AM$23,$A$3:$A$23),utility!$A$3:$A$23,utility!AM$3:AM$23)&amp;" | "&amp;ROUND(COUNTIF(AM$3:AM$23,$A30)/21,3)*100&amp;"%","")</f>
        <v/>
      </c>
      <c r="AN30" t="str">
        <f>IFERROR(_xlfn.XLOOKUP(_xlfn.XLOOKUP($A30,AN$3:AN$23,$A$3:$A$23),utility!$A$3:$A$23,utility!AN$3:AN$23)&amp;" | "&amp;ROUND(COUNTIF(AN$3:AN$23,$A30)/21,3)*100&amp;"%","")</f>
        <v/>
      </c>
      <c r="AO30" t="str">
        <f>IFERROR(_xlfn.XLOOKUP(_xlfn.XLOOKUP($A30,AO$3:AO$23,$A$3:$A$23),utility!$A$3:$A$23,utility!AO$3:AO$23)&amp;" | "&amp;ROUND(COUNTIF(AO$3:AO$23,$A30)/21,3)*100&amp;"%","")</f>
        <v>3 | 9,5%</v>
      </c>
      <c r="AP30" t="str">
        <f>IFERROR(_xlfn.XLOOKUP(_xlfn.XLOOKUP($A30,AP$3:AP$23,$A$3:$A$23),utility!$A$3:$A$23,utility!AP$3:AP$23)&amp;" | "&amp;ROUND(COUNTIF(AP$3:AP$23,$A30)/21,3)*100&amp;"%","")</f>
        <v>3 | 4,8%</v>
      </c>
      <c r="AW30" s="43" t="s">
        <v>114</v>
      </c>
      <c r="AX30" t="s">
        <v>116</v>
      </c>
      <c r="AY30" s="44" t="e">
        <f>AVERAGE(_xlfn.TEXTAFTER(BE16,"| "),_xlfn.TEXTAFTER(BF17,"| "),_xlfn.TEXTAFTER(BG19,"| "))</f>
        <v>#N/A</v>
      </c>
      <c r="AZ30" s="44" t="e">
        <f>AVERAGE(BE23,BF23,BG23)</f>
        <v>#DIV/0!</v>
      </c>
      <c r="BA30" s="45" t="e">
        <f t="shared" ref="BA30:BA31" si="2">SUM(100%-AZ30)</f>
        <v>#DIV/0!</v>
      </c>
    </row>
    <row r="31" spans="1:53" ht="15.75" thickBot="1" x14ac:dyDescent="0.3">
      <c r="A31" t="s">
        <v>26</v>
      </c>
      <c r="H31" t="str">
        <f>IFERROR(_xlfn.XLOOKUP(_xlfn.XLOOKUP($A31,H$3:H$23,$A$3:$A$23),utility!$A$3:$A$23,utility!H$3:H$23)&amp;" | "&amp;ROUND(COUNTIF(H$3:H$23,$A31)/21,3)*100&amp;"%","")</f>
        <v>5-10 m | 23,8%</v>
      </c>
      <c r="I31" t="str">
        <f>IFERROR(_xlfn.XLOOKUP(_xlfn.XLOOKUP($A31,I$3:I$23,$A$3:$A$23),utility!$A$3:$A$23,utility!I$3:I$23)&amp;" | "&amp;ROUND(COUNTIF(I$3:I$23,$A31)/21,3)*100&amp;"%","")</f>
        <v>5-10m | 42,9%</v>
      </c>
      <c r="J31">
        <v>0</v>
      </c>
      <c r="K31" t="str">
        <f>IFERROR(_xlfn.XLOOKUP(_xlfn.XLOOKUP($A31,K$3:K$23,$A$3:$A$23),utility!$A$3:$A$23,utility!K$3:K$23)&amp;" | "&amp;ROUND(COUNTIF(K$3:K$23,$A31)/21,3)*100&amp;"%","")</f>
        <v>Die Objekte sind gleich nah | 4,8%</v>
      </c>
      <c r="L31" t="str">
        <f>IFERROR(_xlfn.XLOOKUP(_xlfn.XLOOKUP($A31,L$3:L$23,$A$3:$A$23),utility!$A$3:$A$23,utility!L$3:L$23)&amp;" | "&amp;ROUND(COUNTIF(L$3:L$23,$A31)/21,3)*100&amp;"%","")</f>
        <v>Die Objekte sind gleich nah | 23,8%</v>
      </c>
      <c r="M31" t="str">
        <f>IFERROR(_xlfn.XLOOKUP(_xlfn.XLOOKUP($A31,M$3:M$23,$A$3:$A$23),utility!$A$3:$A$23,utility!M$3:M$23)&amp;" | "&amp;ROUND(COUNTIF(M$3:M$23,$A31)/21,3)*100&amp;"%","")</f>
        <v>Die Objekte sind gleich nah | 9,5%</v>
      </c>
      <c r="N31" t="str">
        <f>IFERROR(_xlfn.XLOOKUP(_xlfn.XLOOKUP($A31,N$3:N$23,$A$3:$A$23),utility!$A$3:$A$23,utility!N$3:N$23)&amp;" | "&amp;ROUND(COUNTIF(N$3:N$23,$A31)/21,3)*100&amp;"%","")</f>
        <v/>
      </c>
      <c r="O31" t="str">
        <f>IFERROR(_xlfn.XLOOKUP(_xlfn.XLOOKUP($A31,O$3:O$23,$A$3:$A$23),utility!$A$3:$A$23,utility!O$3:O$23)&amp;" | "&amp;ROUND(COUNTIF(O$3:O$23,$A31)/21,3)*100&amp;"%","")</f>
        <v>5-10m | 14,3%</v>
      </c>
      <c r="P31" t="str">
        <f>IFERROR(_xlfn.XLOOKUP(_xlfn.XLOOKUP($A31,P$3:P$23,$A$3:$A$23),utility!$A$3:$A$23,utility!P$3:P$23)&amp;" | "&amp;ROUND(COUNTIF(P$3:P$23,$A31)/21,3)*100&amp;"%","")</f>
        <v>5-10m | 47,6%</v>
      </c>
      <c r="Q31" t="str">
        <f>IFERROR(_xlfn.XLOOKUP(_xlfn.XLOOKUP($A31,Q$3:Q$23,$A$3:$A$23),utility!$A$3:$A$23,utility!Q$3:Q$23)&amp;" | "&amp;ROUND(COUNTIF(Q$3:Q$23,$A31)/21,3)*100&amp;"%","")</f>
        <v>5-10m | 9,5%</v>
      </c>
      <c r="R31" t="str">
        <f>IFERROR(_xlfn.XLOOKUP(_xlfn.XLOOKUP($A31,R$3:R$23,$A$3:$A$23),utility!$A$3:$A$23,utility!R$3:R$23)&amp;" | "&amp;ROUND(COUNTIF(R$3:R$23,$A31)/21,3)*100&amp;"%","")</f>
        <v/>
      </c>
      <c r="S31" t="str">
        <f>IFERROR(_xlfn.XLOOKUP(_xlfn.XLOOKUP($A31,S$3:S$23,$A$3:$A$23),utility!$A$3:$A$23,utility!S$3:S$23)&amp;" | "&amp;ROUND(COUNTIF(S$3:S$23,$A31)/21,3)*100&amp;"%","")</f>
        <v>Die fässer auf der terasse vom Haus | 33,3%</v>
      </c>
      <c r="T31" t="str">
        <f>IFERROR(_xlfn.XLOOKUP(_xlfn.XLOOKUP($A31,T$3:T$23,$A$3:$A$23),utility!$A$3:$A$23,utility!T$3:T$23)&amp;" | "&amp;ROUND(COUNTIF(T$3:T$23,$A31)/21,3)*100&amp;"%","")</f>
        <v>Die Kiste im grauen Bereich | 9,5%</v>
      </c>
      <c r="U31" t="str">
        <f>IFERROR(_xlfn.XLOOKUP(_xlfn.XLOOKUP($A31,U$3:U$23,$A$3:$A$23),utility!$A$3:$A$23,utility!U$3:U$23)&amp;" | "&amp;ROUND(COUNTIF(U$3:U$23,$A31)/21,3)*100&amp;"%","")</f>
        <v/>
      </c>
      <c r="V31" t="str">
        <f>IFERROR(_xlfn.XLOOKUP(_xlfn.XLOOKUP($A31,V$3:V$23,$A$3:$A$23),utility!$A$3:$A$23,utility!V$3:V$23)&amp;" | "&amp;ROUND(COUNTIF(V$3:V$23,$A31)/21,3)*100&amp;"%","")</f>
        <v>5-10m | 9,5%</v>
      </c>
      <c r="W31" t="str">
        <f>IFERROR(_xlfn.XLOOKUP(_xlfn.XLOOKUP($A31,W$3:W$23,$A$3:$A$23),utility!$A$3:$A$23,utility!W$3:W$23)&amp;" | "&amp;ROUND(COUNTIF(W$3:W$23,$A31)/21,3)*100&amp;"%","")</f>
        <v>5-10m | 61,9%</v>
      </c>
      <c r="X31" t="str">
        <f>IFERROR(_xlfn.XLOOKUP(_xlfn.XLOOKUP($A31,X$3:X$23,$A$3:$A$23),utility!$A$3:$A$23,utility!X$3:X$23)&amp;" | "&amp;ROUND(COUNTIF(X$3:X$23,$A31)/21,3)*100&amp;"%","")</f>
        <v>5-10m | 9,5%</v>
      </c>
      <c r="Y31" t="str">
        <f>IFERROR(_xlfn.XLOOKUP(_xlfn.XLOOKUP($A31,Y$3:Y$23,$A$3:$A$23),utility!$A$3:$A$23,utility!Y$3:Y$23)&amp;" | "&amp;ROUND(COUNTIF(Y$3:Y$23,$A31)/21,3)*100&amp;"%","")</f>
        <v>Die Kiste vor dem Bett im Holzraum | 100%</v>
      </c>
      <c r="Z31" t="str">
        <f>IFERROR(_xlfn.XLOOKUP(_xlfn.XLOOKUP($A31,Z$3:Z$23,$A$3:$A$23),utility!$A$3:$A$23,utility!Z$3:Z$23)&amp;" | "&amp;ROUND(COUNTIF(Z$3:Z$23,$A31)/21,3)*100&amp;"%","")</f>
        <v>Die Haustür vom Haus | 71,4%</v>
      </c>
      <c r="AA31" t="str">
        <f>IFERROR(_xlfn.XLOOKUP(_xlfn.XLOOKUP($A31,AA$3:AA$23,$A$3:$A$23),utility!$A$3:$A$23,utility!AA$3:AA$23)&amp;" | "&amp;ROUND(COUNTIF(AA$3:AA$23,$A31)/21,3)*100&amp;"%","")</f>
        <v>Die Kiste im grauen Bereich | 4,8%</v>
      </c>
      <c r="AB31" t="str">
        <f>IFERROR(_xlfn.XLOOKUP(_xlfn.XLOOKUP($A31,AB$3:AB$23,$A$3:$A$23),utility!$A$3:$A$23,utility!AB$3:AB$23)&amp;" | "&amp;ROUND(COUNTIF(AB$3:AB$23,$A31)/21,3)*100&amp;"%","")</f>
        <v/>
      </c>
      <c r="AC31" t="str">
        <f>IFERROR(_xlfn.XLOOKUP(_xlfn.XLOOKUP($A31,AC$3:AC$23,$A$3:$A$23),utility!$A$3:$A$23,utility!AC$3:AC$23)&amp;" | "&amp;ROUND(COUNTIF(AC$3:AC$23,$A31)/21,3)*100&amp;"%","")</f>
        <v>4 | 4,8%</v>
      </c>
      <c r="AD31" t="str">
        <f>IFERROR(_xlfn.XLOOKUP(_xlfn.XLOOKUP($A31,AD$3:AD$23,$A$3:$A$23),utility!$A$3:$A$23,utility!AD$3:AD$23)&amp;" | "&amp;ROUND(COUNTIF(AD$3:AD$23,$A31)/21,3)*100&amp;"%","")</f>
        <v>4 | 9,5%</v>
      </c>
      <c r="AE31" t="str">
        <f>IFERROR(_xlfn.XLOOKUP(_xlfn.XLOOKUP($A31,AE$3:AE$23,$A$3:$A$23),utility!$A$3:$A$23,utility!AE$3:AE$23)&amp;" | "&amp;ROUND(COUNTIF(AE$3:AE$23,$A31)/21,3)*100&amp;"%","")</f>
        <v>4 | 19%</v>
      </c>
      <c r="AF31" t="str">
        <f>IFERROR(_xlfn.XLOOKUP(_xlfn.XLOOKUP($A31,AF$3:AF$23,$A$3:$A$23),utility!$A$3:$A$23,utility!AF$3:AF$23)&amp;" | "&amp;ROUND(COUNTIF(AF$3:AF$23,$A31)/21,3)*100&amp;"%","")</f>
        <v>4 | 4,8%</v>
      </c>
      <c r="AG31" t="str">
        <f>IFERROR(_xlfn.XLOOKUP(_xlfn.XLOOKUP($A31,AG$3:AG$23,$A$3:$A$23),utility!$A$3:$A$23,utility!AG$3:AG$23)&amp;" | "&amp;ROUND(COUNTIF(AG$3:AG$23,$A31)/21,3)*100&amp;"%","")</f>
        <v/>
      </c>
      <c r="AH31" t="str">
        <f>IFERROR(_xlfn.XLOOKUP(_xlfn.XLOOKUP($A31,AH$3:AH$23,$A$3:$A$23),utility!$A$3:$A$23,utility!AH$3:AH$23)&amp;" | "&amp;ROUND(COUNTIF(AH$3:AH$23,$A31)/21,3)*100&amp;"%","")</f>
        <v>4 | 4,8%</v>
      </c>
      <c r="AI31" t="str">
        <f>IFERROR(_xlfn.XLOOKUP(_xlfn.XLOOKUP($A31,AI$3:AI$23,$A$3:$A$23),utility!$A$3:$A$23,utility!AI$3:AI$23)&amp;" | "&amp;ROUND(COUNTIF(AI$3:AI$23,$A31)/21,3)*100&amp;"%","")</f>
        <v>4 | 19%</v>
      </c>
      <c r="AJ31" t="str">
        <f>IFERROR(_xlfn.XLOOKUP(_xlfn.XLOOKUP($A31,AJ$3:AJ$23,$A$3:$A$23),utility!$A$3:$A$23,utility!AJ$3:AJ$23)&amp;" | "&amp;ROUND(COUNTIF(AJ$3:AJ$23,$A31)/21,3)*100&amp;"%","")</f>
        <v>4 | 23,8%</v>
      </c>
      <c r="AK31" t="str">
        <f>IFERROR(_xlfn.XLOOKUP(_xlfn.XLOOKUP($A31,AK$3:AK$23,$A$3:$A$23),utility!$A$3:$A$23,utility!AK$3:AK$23)&amp;" | "&amp;ROUND(COUNTIF(AK$3:AK$23,$A31)/21,3)*100&amp;"%","")</f>
        <v/>
      </c>
      <c r="AL31" t="str">
        <f>IFERROR(_xlfn.XLOOKUP(_xlfn.XLOOKUP($A31,AL$3:AL$23,$A$3:$A$23),utility!$A$3:$A$23,utility!AL$3:AL$23)&amp;" | "&amp;ROUND(COUNTIF(AL$3:AL$23,$A31)/21,3)*100&amp;"%","")</f>
        <v/>
      </c>
      <c r="AM31" t="str">
        <f>IFERROR(_xlfn.XLOOKUP(_xlfn.XLOOKUP($A31,AM$3:AM$23,$A$3:$A$23),utility!$A$3:$A$23,utility!AM$3:AM$23)&amp;" | "&amp;ROUND(COUNTIF(AM$3:AM$23,$A31)/21,3)*100&amp;"%","")</f>
        <v/>
      </c>
      <c r="AN31" t="str">
        <f>IFERROR(_xlfn.XLOOKUP(_xlfn.XLOOKUP($A31,AN$3:AN$23,$A$3:$A$23),utility!$A$3:$A$23,utility!AN$3:AN$23)&amp;" | "&amp;ROUND(COUNTIF(AN$3:AN$23,$A31)/21,3)*100&amp;"%","")</f>
        <v>4 | 4,8%</v>
      </c>
      <c r="AO31" t="str">
        <f>IFERROR(_xlfn.XLOOKUP(_xlfn.XLOOKUP($A31,AO$3:AO$23,$A$3:$A$23),utility!$A$3:$A$23,utility!AO$3:AO$23)&amp;" | "&amp;ROUND(COUNTIF(AO$3:AO$23,$A31)/21,3)*100&amp;"%","")</f>
        <v>4 | 4,8%</v>
      </c>
      <c r="AP31" t="str">
        <f>IFERROR(_xlfn.XLOOKUP(_xlfn.XLOOKUP($A31,AP$3:AP$23,$A$3:$A$23),utility!$A$3:$A$23,utility!AP$3:AP$23)&amp;" | "&amp;ROUND(COUNTIF(AP$3:AP$23,$A31)/21,3)*100&amp;"%","")</f>
        <v>4 | 9,5%</v>
      </c>
      <c r="AW31" s="16" t="s">
        <v>115</v>
      </c>
      <c r="AX31" s="37" t="s">
        <v>116</v>
      </c>
      <c r="AY31" s="46" t="e">
        <f>AVERAGE(_xlfn.TEXTAFTER(BL16,"| "),_xlfn.TEXTAFTER(BM17,"| "),_xlfn.TEXTAFTER(BN19,"| "))</f>
        <v>#N/A</v>
      </c>
      <c r="AZ31" s="46" t="e">
        <f>AVERAGE(BL23,BM23,BN23)</f>
        <v>#DIV/0!</v>
      </c>
      <c r="BA31" s="47" t="e">
        <f t="shared" si="2"/>
        <v>#DIV/0!</v>
      </c>
    </row>
    <row r="32" spans="1:53" x14ac:dyDescent="0.25">
      <c r="A32" t="s">
        <v>25</v>
      </c>
      <c r="H32" t="str">
        <f>IFERROR(_xlfn.XLOOKUP(_xlfn.XLOOKUP($A32,H$3:H$23,$A$3:$A$23),utility!$A$3:$A$23,utility!H$3:H$23)&amp;" | "&amp;ROUND(COUNTIF(H$3:H$23,$A32)/21,3)*100&amp;"%","")</f>
        <v>0 - 5 m | 4,8%</v>
      </c>
      <c r="I32" t="str">
        <f>IFERROR(_xlfn.XLOOKUP(_xlfn.XLOOKUP($A32,I$3:I$23,$A$3:$A$23),utility!$A$3:$A$23,utility!I$3:I$23)&amp;" | "&amp;ROUND(COUNTIF(I$3:I$23,$A32)/21,3)*100&amp;"%","")</f>
        <v>0-5m | 28,6%</v>
      </c>
      <c r="J32" t="str">
        <f>IFERROR(_xlfn.XLOOKUP(_xlfn.XLOOKUP($A32,J$3:J$23,$A$3:$A$23),utility!$A$3:$A$23,utility!J$3:J$23)&amp;" | "&amp;ROUND(COUNTIF(J$3:J$23,$A32)/21,3)*100&amp;"%","")</f>
        <v>0-5m | 95,2%</v>
      </c>
      <c r="K32" t="str">
        <f>IFERROR(_xlfn.XLOOKUP(_xlfn.XLOOKUP($A32,K$3:K$23,$A$3:$A$23),utility!$A$3:$A$23,utility!K$3:K$23)&amp;" | "&amp;ROUND(COUNTIF(K$3:K$23,$A32)/21,3)*100&amp;"%","")</f>
        <v/>
      </c>
      <c r="L32" t="str">
        <f>IFERROR(_xlfn.XLOOKUP(_xlfn.XLOOKUP($A32,L$3:L$23,$A$3:$A$23),utility!$A$3:$A$23,utility!L$3:L$23)&amp;" | "&amp;ROUND(COUNTIF(L$3:L$23,$A32)/21,3)*100&amp;"%","")</f>
        <v/>
      </c>
      <c r="M32" t="str">
        <f>IFERROR(_xlfn.XLOOKUP(_xlfn.XLOOKUP($A32,M$3:M$23,$A$3:$A$23),utility!$A$3:$A$23,utility!M$3:M$23)&amp;" | "&amp;ROUND(COUNTIF(M$3:M$23,$A32)/21,3)*100&amp;"%","")</f>
        <v/>
      </c>
      <c r="N32" t="str">
        <f>IFERROR(_xlfn.XLOOKUP(_xlfn.XLOOKUP($A32,N$3:N$23,$A$3:$A$23),utility!$A$3:$A$23,utility!N$3:N$23)&amp;" | "&amp;ROUND(COUNTIF(N$3:N$23,$A32)/21,3)*100&amp;"%","")</f>
        <v/>
      </c>
      <c r="O32" t="str">
        <f>IFERROR(_xlfn.XLOOKUP(_xlfn.XLOOKUP($A32,O$3:O$23,$A$3:$A$23),utility!$A$3:$A$23,utility!O$3:O$23)&amp;" | "&amp;ROUND(COUNTIF(O$3:O$23,$A32)/21,3)*100&amp;"%","")</f>
        <v/>
      </c>
      <c r="P32" t="str">
        <f>IFERROR(_xlfn.XLOOKUP(_xlfn.XLOOKUP($A32,P$3:P$23,$A$3:$A$23),utility!$A$3:$A$23,utility!P$3:P$23)&amp;" | "&amp;ROUND(COUNTIF(P$3:P$23,$A32)/21,3)*100&amp;"%","")</f>
        <v>0-5m | 9,5%</v>
      </c>
      <c r="Q32" s="32" t="str">
        <f>IFERROR(_xlfn.XLOOKUP(_xlfn.XLOOKUP($A32,Q$3:Q$23,$A$3:$A$23),utility!$A$3:$A$23,utility!Q$3:Q$23)&amp;" | "&amp;ROUND(COUNTIF(Q$3:Q$23,$A32)/21,3)*100&amp;"%","")</f>
        <v>0-5m | 90,5%</v>
      </c>
      <c r="R32" t="str">
        <f>IFERROR(_xlfn.XLOOKUP(_xlfn.XLOOKUP($A32,R$3:R$23,$A$3:$A$23),utility!$A$3:$A$23,utility!R$3:R$23)&amp;" | "&amp;ROUND(COUNTIF(R$3:R$23,$A32)/21,3)*100&amp;"%","")</f>
        <v>Das gelbe Schild im weißen Raum | 81%</v>
      </c>
      <c r="S32" t="str">
        <f>IFERROR(_xlfn.XLOOKUP(_xlfn.XLOOKUP($A32,S$3:S$23,$A$3:$A$23),utility!$A$3:$A$23,utility!S$3:S$23)&amp;" | "&amp;ROUND(COUNTIF(S$3:S$23,$A32)/21,3)*100&amp;"%","")</f>
        <v> Die gelbe Ente im Pavillon | 28,6%</v>
      </c>
      <c r="T32" t="str">
        <f>IFERROR(_xlfn.XLOOKUP(_xlfn.XLOOKUP($A32,T$3:T$23,$A$3:$A$23),utility!$A$3:$A$23,utility!T$3:T$23)&amp;" | "&amp;ROUND(COUNTIF(T$3:T$23,$A32)/21,3)*100&amp;"%","")</f>
        <v> Die Säule im grauen Bereich | 81%</v>
      </c>
      <c r="U32" t="str">
        <f>IFERROR(_xlfn.XLOOKUP(_xlfn.XLOOKUP($A32,U$3:U$23,$A$3:$A$23),utility!$A$3:$A$23,utility!U$3:U$23)&amp;" | "&amp;ROUND(COUNTIF(U$3:U$23,$A32)/21,3)*100&amp;"%","")</f>
        <v/>
      </c>
      <c r="V32" t="str">
        <f>IFERROR(_xlfn.XLOOKUP(_xlfn.XLOOKUP($A32,V$3:V$23,$A$3:$A$23),utility!$A$3:$A$23,utility!V$3:V$23)&amp;" | "&amp;ROUND(COUNTIF(V$3:V$23,$A32)/21,3)*100&amp;"%","")</f>
        <v>0-5m | 4,8%</v>
      </c>
      <c r="W32" t="str">
        <f>IFERROR(_xlfn.XLOOKUP(_xlfn.XLOOKUP($A32,W$3:W$23,$A$3:$A$23),utility!$A$3:$A$23,utility!W$3:W$23)&amp;" | "&amp;ROUND(COUNTIF(W$3:W$23,$A32)/21,3)*100&amp;"%","")</f>
        <v>0-5m | 9,5%</v>
      </c>
      <c r="X32" s="32" t="str">
        <f>IFERROR(_xlfn.XLOOKUP(_xlfn.XLOOKUP($A32,X$3:X$23,$A$3:$A$23),utility!$A$3:$A$23,utility!X$3:X$23)&amp;" | "&amp;ROUND(COUNTIF(X$3:X$23,$A32)/21,3)*100&amp;"%","")</f>
        <v>0-5m | 90,5%</v>
      </c>
      <c r="Y32" t="str">
        <f>IFERROR(_xlfn.XLOOKUP(_xlfn.XLOOKUP($A32,Y$3:Y$23,$A$3:$A$23),utility!$A$3:$A$23,utility!Y$3:Y$23)&amp;" | "&amp;ROUND(COUNTIF(Y$3:Y$23,$A32)/21,3)*100&amp;"%","")</f>
        <v/>
      </c>
      <c r="Z32" t="str">
        <f>IFERROR(_xlfn.XLOOKUP(_xlfn.XLOOKUP($A32,Z$3:Z$23,$A$3:$A$23),utility!$A$3:$A$23,utility!Z$3:Z$23)&amp;" | "&amp;ROUND(COUNTIF(Z$3:Z$23,$A32)/21,3)*100&amp;"%","")</f>
        <v/>
      </c>
      <c r="AA32" t="str">
        <f>IFERROR(_xlfn.XLOOKUP(_xlfn.XLOOKUP($A32,AA$3:AA$23,$A$3:$A$23),utility!$A$3:$A$23,utility!AA$3:AA$23)&amp;" | "&amp;ROUND(COUNTIF(AA$3:AA$23,$A32)/21,3)*100&amp;"%","")</f>
        <v>Die Säule im grauen Bereich | 81%</v>
      </c>
      <c r="AB32" t="str">
        <f>IFERROR(_xlfn.XLOOKUP(_xlfn.XLOOKUP($A32,AB$3:AB$23,$A$3:$A$23),utility!$A$3:$A$23,utility!AB$3:AB$23)&amp;" | "&amp;ROUND(COUNTIF(AB$3:AB$23,$A32)/21,3)*100&amp;"%","")</f>
        <v/>
      </c>
      <c r="AC32" t="str">
        <f>IFERROR(_xlfn.XLOOKUP(_xlfn.XLOOKUP($A32,AC$3:AC$23,$A$3:$A$23),utility!$A$3:$A$23,utility!AC$3:AC$23)&amp;" | "&amp;ROUND(COUNTIF(AC$3:AC$23,$A32)/21,3)*100&amp;"%","")</f>
        <v>5 | 9,5%</v>
      </c>
      <c r="AD32" t="str">
        <f>IFERROR(_xlfn.XLOOKUP(_xlfn.XLOOKUP($A32,AD$3:AD$23,$A$3:$A$23),utility!$A$3:$A$23,utility!AD$3:AD$23)&amp;" | "&amp;ROUND(COUNTIF(AD$3:AD$23,$A32)/21,3)*100&amp;"%","")</f>
        <v>5 | 9,5%</v>
      </c>
      <c r="AE32" t="str">
        <f>IFERROR(_xlfn.XLOOKUP(_xlfn.XLOOKUP($A32,AE$3:AE$23,$A$3:$A$23),utility!$A$3:$A$23,utility!AE$3:AE$23)&amp;" | "&amp;ROUND(COUNTIF(AE$3:AE$23,$A32)/21,3)*100&amp;"%","")</f>
        <v>5 | 9,5%</v>
      </c>
      <c r="AF32" t="str">
        <f>IFERROR(_xlfn.XLOOKUP(_xlfn.XLOOKUP($A32,AF$3:AF$23,$A$3:$A$23),utility!$A$3:$A$23,utility!AF$3:AF$23)&amp;" | "&amp;ROUND(COUNTIF(AF$3:AF$23,$A32)/21,3)*100&amp;"%","")</f>
        <v>5 | 4,8%</v>
      </c>
      <c r="AG32" t="str">
        <f>IFERROR(_xlfn.XLOOKUP(_xlfn.XLOOKUP($A32,AG$3:AG$23,$A$3:$A$23),utility!$A$3:$A$23,utility!AG$3:AG$23)&amp;" | "&amp;ROUND(COUNTIF(AG$3:AG$23,$A32)/21,3)*100&amp;"%","")</f>
        <v/>
      </c>
      <c r="AH32" t="str">
        <f>IFERROR(_xlfn.XLOOKUP(_xlfn.XLOOKUP($A32,AH$3:AH$23,$A$3:$A$23),utility!$A$3:$A$23,utility!AH$3:AH$23)&amp;" | "&amp;ROUND(COUNTIF(AH$3:AH$23,$A32)/21,3)*100&amp;"%","")</f>
        <v>5 | 23,8%</v>
      </c>
      <c r="AI32" t="str">
        <f>IFERROR(_xlfn.XLOOKUP(_xlfn.XLOOKUP($A32,AI$3:AI$23,$A$3:$A$23),utility!$A$3:$A$23,utility!AI$3:AI$23)&amp;" | "&amp;ROUND(COUNTIF(AI$3:AI$23,$A32)/21,3)*100&amp;"%","")</f>
        <v>5 | 9,5%</v>
      </c>
      <c r="AJ32" t="str">
        <f>IFERROR(_xlfn.XLOOKUP(_xlfn.XLOOKUP($A32,AJ$3:AJ$23,$A$3:$A$23),utility!$A$3:$A$23,utility!AJ$3:AJ$23)&amp;" | "&amp;ROUND(COUNTIF(AJ$3:AJ$23,$A32)/21,3)*100&amp;"%","")</f>
        <v>5 | 9,5%</v>
      </c>
      <c r="AK32" t="str">
        <f>IFERROR(_xlfn.XLOOKUP(_xlfn.XLOOKUP($A32,AK$3:AK$23,$A$3:$A$23),utility!$A$3:$A$23,utility!AK$3:AK$23)&amp;" | "&amp;ROUND(COUNTIF(AK$3:AK$23,$A32)/21,3)*100&amp;"%","")</f>
        <v>5 | 4,8%</v>
      </c>
      <c r="AL32" t="str">
        <f>IFERROR(_xlfn.XLOOKUP(_xlfn.XLOOKUP($A32,AL$3:AL$23,$A$3:$A$23),utility!$A$3:$A$23,utility!AL$3:AL$23)&amp;" | "&amp;ROUND(COUNTIF(AL$3:AL$23,$A32)/21,3)*100&amp;"%","")</f>
        <v/>
      </c>
      <c r="AM32" t="str">
        <f>IFERROR(_xlfn.XLOOKUP(_xlfn.XLOOKUP($A32,AM$3:AM$23,$A$3:$A$23),utility!$A$3:$A$23,utility!AM$3:AM$23)&amp;" | "&amp;ROUND(COUNTIF(AM$3:AM$23,$A32)/21,3)*100&amp;"%","")</f>
        <v>5 | 19%</v>
      </c>
      <c r="AN32" t="str">
        <f>IFERROR(_xlfn.XLOOKUP(_xlfn.XLOOKUP($A32,AN$3:AN$23,$A$3:$A$23),utility!$A$3:$A$23,utility!AN$3:AN$23)&amp;" | "&amp;ROUND(COUNTIF(AN$3:AN$23,$A32)/21,3)*100&amp;"%","")</f>
        <v>5 | 4,8%</v>
      </c>
      <c r="AO32" t="str">
        <f>IFERROR(_xlfn.XLOOKUP(_xlfn.XLOOKUP($A32,AO$3:AO$23,$A$3:$A$23),utility!$A$3:$A$23,utility!AO$3:AO$23)&amp;" | "&amp;ROUND(COUNTIF(AO$3:AO$23,$A32)/21,3)*100&amp;"%","")</f>
        <v>5 | 23,8%</v>
      </c>
      <c r="AP32" t="str">
        <f>IFERROR(_xlfn.XLOOKUP(_xlfn.XLOOKUP($A32,AP$3:AP$23,$A$3:$A$23),utility!$A$3:$A$23,utility!AP$3:AP$23)&amp;" | "&amp;ROUND(COUNTIF(AP$3:AP$23,$A32)/21,3)*100&amp;"%","")</f>
        <v>5 | 4,8%</v>
      </c>
    </row>
    <row r="33" spans="1:42" x14ac:dyDescent="0.25">
      <c r="A33" t="s">
        <v>22</v>
      </c>
      <c r="H33" t="str">
        <f>IFERROR(_xlfn.XLOOKUP(_xlfn.XLOOKUP($A33,H$3:H$23,$A$3:$A$23),utility!$A$3:$A$23,utility!H$3:H$23)&amp;" | "&amp;ROUND(COUNTIF(H$3:H$23,$A33)/21,3)*100&amp;"%","")</f>
        <v/>
      </c>
      <c r="I33" t="str">
        <f>IFERROR(_xlfn.XLOOKUP(_xlfn.XLOOKUP($A33,I$3:I$23,$A$3:$A$23),utility!$A$3:$A$23,utility!I$3:I$23)&amp;" | "&amp;ROUND(COUNTIF(I$3:I$23,$A33)/21,3)*100&amp;"%","")</f>
        <v/>
      </c>
      <c r="J33">
        <v>0</v>
      </c>
      <c r="K33" t="str">
        <f>IFERROR(_xlfn.XLOOKUP(_xlfn.XLOOKUP($A33,K$3:K$23,$A$3:$A$23),utility!$A$3:$A$23,utility!K$3:K$23)&amp;" | "&amp;ROUND(COUNTIF(K$3:K$23,$A33)/21,3)*100&amp;"%","")</f>
        <v/>
      </c>
      <c r="L33" t="str">
        <f>IFERROR(_xlfn.XLOOKUP(_xlfn.XLOOKUP($A33,L$3:L$23,$A$3:$A$23),utility!$A$3:$A$23,utility!L$3:L$23)&amp;" | "&amp;ROUND(COUNTIF(L$3:L$23,$A33)/21,3)*100&amp;"%","")</f>
        <v/>
      </c>
      <c r="M33" t="str">
        <f>IFERROR(_xlfn.XLOOKUP(_xlfn.XLOOKUP($A33,M$3:M$23,$A$3:$A$23),utility!$A$3:$A$23,utility!M$3:M$23)&amp;" | "&amp;ROUND(COUNTIF(M$3:M$23,$A33)/21,3)*100&amp;"%","")</f>
        <v/>
      </c>
      <c r="N33" t="str">
        <f>IFERROR(_xlfn.XLOOKUP(_xlfn.XLOOKUP($A33,N$3:N$23,$A$3:$A$23),utility!$A$3:$A$23,utility!N$3:N$23)&amp;" | "&amp;ROUND(COUNTIF(N$3:N$23,$A33)/21,3)*100&amp;"%","")</f>
        <v/>
      </c>
      <c r="O33" t="str">
        <f>IFERROR(_xlfn.XLOOKUP(_xlfn.XLOOKUP($A33,O$3:O$23,$A$3:$A$23),utility!$A$3:$A$23,utility!O$3:O$23)&amp;" | "&amp;ROUND(COUNTIF(O$3:O$23,$A33)/21,3)*100&amp;"%","")</f>
        <v/>
      </c>
      <c r="P33" t="str">
        <f>IFERROR(_xlfn.XLOOKUP(_xlfn.XLOOKUP($A33,P$3:P$23,$A$3:$A$23),utility!$A$3:$A$23,utility!P$3:P$23)&amp;" | "&amp;ROUND(COUNTIF(P$3:P$23,$A33)/21,3)*100&amp;"%","")</f>
        <v/>
      </c>
      <c r="Q33" t="str">
        <f>IFERROR(_xlfn.XLOOKUP(_xlfn.XLOOKUP($A33,Q$3:Q$23,$A$3:$A$23),utility!$A$3:$A$23,utility!Q$3:Q$23)&amp;" | "&amp;ROUND(COUNTIF(Q$3:Q$23,$A33)/21,3)*100&amp;"%","")</f>
        <v/>
      </c>
      <c r="R33" t="str">
        <f>IFERROR(_xlfn.XLOOKUP(_xlfn.XLOOKUP($A33,R$3:R$23,$A$3:$A$23),utility!$A$3:$A$23,utility!R$3:R$23)&amp;" | "&amp;ROUND(COUNTIF(R$3:R$23,$A33)/21,3)*100&amp;"%","")</f>
        <v>Die Objekte sind gleich nah | 14,3%</v>
      </c>
      <c r="S33" t="str">
        <f>IFERROR(_xlfn.XLOOKUP(_xlfn.XLOOKUP($A33,S$3:S$23,$A$3:$A$23),utility!$A$3:$A$23,utility!S$3:S$23)&amp;" | "&amp;ROUND(COUNTIF(S$3:S$23,$A33)/21,3)*100&amp;"%","")</f>
        <v>Die Objekte sind gleich nah | 33,3%</v>
      </c>
      <c r="T33" t="str">
        <f>IFERROR(_xlfn.XLOOKUP(_xlfn.XLOOKUP($A33,T$3:T$23,$A$3:$A$23),utility!$A$3:$A$23,utility!T$3:T$23)&amp;" | "&amp;ROUND(COUNTIF(T$3:T$23,$A33)/21,3)*100&amp;"%","")</f>
        <v> Die Objekte sind gleich nah | 9,5%</v>
      </c>
      <c r="U33" t="str">
        <f>IFERROR(_xlfn.XLOOKUP(_xlfn.XLOOKUP($A33,U$3:U$23,$A$3:$A$23),utility!$A$3:$A$23,utility!U$3:U$23)&amp;" | "&amp;ROUND(COUNTIF(U$3:U$23,$A33)/21,3)*100&amp;"%","")</f>
        <v/>
      </c>
      <c r="V33" t="str">
        <f>IFERROR(_xlfn.XLOOKUP(_xlfn.XLOOKUP($A33,V$3:V$23,$A$3:$A$23),utility!$A$3:$A$23,utility!V$3:V$23)&amp;" | "&amp;ROUND(COUNTIF(V$3:V$23,$A33)/21,3)*100&amp;"%","")</f>
        <v>Weiß ich nicht | 4,8%</v>
      </c>
      <c r="W33" t="str">
        <f>IFERROR(_xlfn.XLOOKUP(_xlfn.XLOOKUP($A33,W$3:W$23,$A$3:$A$23),utility!$A$3:$A$23,utility!W$3:W$23)&amp;" | "&amp;ROUND(COUNTIF(W$3:W$23,$A33)/21,3)*100&amp;"%","")</f>
        <v>Weiß ich nicht | 4,8%</v>
      </c>
      <c r="X33" t="str">
        <f>IFERROR(_xlfn.XLOOKUP(_xlfn.XLOOKUP($A33,X$3:X$23,$A$3:$A$23),utility!$A$3:$A$23,utility!X$3:X$23)&amp;" | "&amp;ROUND(COUNTIF(X$3:X$23,$A33)/21,3)*100&amp;"%","")</f>
        <v/>
      </c>
      <c r="Y33" t="str">
        <f>IFERROR(_xlfn.XLOOKUP(_xlfn.XLOOKUP($A33,Y$3:Y$23,$A$3:$A$23),utility!$A$3:$A$23,utility!Y$3:Y$23)&amp;" | "&amp;ROUND(COUNTIF(Y$3:Y$23,$A33)/21,3)*100&amp;"%","")</f>
        <v/>
      </c>
      <c r="Z33" t="str">
        <f>IFERROR(_xlfn.XLOOKUP(_xlfn.XLOOKUP($A33,Z$3:Z$23,$A$3:$A$23),utility!$A$3:$A$23,utility!Z$3:Z$23)&amp;" | "&amp;ROUND(COUNTIF(Z$3:Z$23,$A33)/21,3)*100&amp;"%","")</f>
        <v>Die Objekte sind gleich nah | 28,6%</v>
      </c>
      <c r="AA33" t="str">
        <f>IFERROR(_xlfn.XLOOKUP(_xlfn.XLOOKUP($A33,AA$3:AA$23,$A$3:$A$23),utility!$A$3:$A$23,utility!AA$3:AA$23)&amp;" | "&amp;ROUND(COUNTIF(AA$3:AA$23,$A33)/21,3)*100&amp;"%","")</f>
        <v>Die Objekte sind gleich nah | 14,3%</v>
      </c>
      <c r="AB33" t="str">
        <f>IFERROR(_xlfn.XLOOKUP(_xlfn.XLOOKUP($A33,AB$3:AB$23,$A$3:$A$23),utility!$A$3:$A$23,utility!AB$3:AB$23)&amp;" | "&amp;ROUND(COUNTIF(AB$3:AB$23,$A33)/21,3)*100&amp;"%","")</f>
        <v/>
      </c>
      <c r="AC33" t="str">
        <f>IFERROR(_xlfn.XLOOKUP(_xlfn.XLOOKUP($A33,AC$3:AC$23,$A$3:$A$23),utility!$A$3:$A$23,utility!AC$3:AC$23)&amp;" | "&amp;ROUND(COUNTIF(AC$3:AC$23,$A33)/21,3)*100&amp;"%","")</f>
        <v>6 | 23,8%</v>
      </c>
      <c r="AD33" t="str">
        <f>IFERROR(_xlfn.XLOOKUP(_xlfn.XLOOKUP($A33,AD$3:AD$23,$A$3:$A$23),utility!$A$3:$A$23,utility!AD$3:AD$23)&amp;" | "&amp;ROUND(COUNTIF(AD$3:AD$23,$A33)/21,3)*100&amp;"%","")</f>
        <v>6 | 9,5%</v>
      </c>
      <c r="AE33" t="str">
        <f>IFERROR(_xlfn.XLOOKUP(_xlfn.XLOOKUP($A33,AE$3:AE$23,$A$3:$A$23),utility!$A$3:$A$23,utility!AE$3:AE$23)&amp;" | "&amp;ROUND(COUNTIF(AE$3:AE$23,$A33)/21,3)*100&amp;"%","")</f>
        <v>6 | 19%</v>
      </c>
      <c r="AF33" t="str">
        <f>IFERROR(_xlfn.XLOOKUP(_xlfn.XLOOKUP($A33,AF$3:AF$23,$A$3:$A$23),utility!$A$3:$A$23,utility!AF$3:AF$23)&amp;" | "&amp;ROUND(COUNTIF(AF$3:AF$23,$A33)/21,3)*100&amp;"%","")</f>
        <v>6 | 9,5%</v>
      </c>
      <c r="AG33" t="str">
        <f>IFERROR(_xlfn.XLOOKUP(_xlfn.XLOOKUP($A33,AG$3:AG$23,$A$3:$A$23),utility!$A$3:$A$23,utility!AG$3:AG$23)&amp;" | "&amp;ROUND(COUNTIF(AG$3:AG$23,$A33)/21,3)*100&amp;"%","")</f>
        <v/>
      </c>
      <c r="AH33" t="str">
        <f>IFERROR(_xlfn.XLOOKUP(_xlfn.XLOOKUP($A33,AH$3:AH$23,$A$3:$A$23),utility!$A$3:$A$23,utility!AH$3:AH$23)&amp;" | "&amp;ROUND(COUNTIF(AH$3:AH$23,$A33)/21,3)*100&amp;"%","")</f>
        <v>6 | 19%</v>
      </c>
      <c r="AI33" t="str">
        <f>IFERROR(_xlfn.XLOOKUP(_xlfn.XLOOKUP($A33,AI$3:AI$23,$A$3:$A$23),utility!$A$3:$A$23,utility!AI$3:AI$23)&amp;" | "&amp;ROUND(COUNTIF(AI$3:AI$23,$A33)/21,3)*100&amp;"%","")</f>
        <v/>
      </c>
      <c r="AJ33" t="str">
        <f>IFERROR(_xlfn.XLOOKUP(_xlfn.XLOOKUP($A33,AJ$3:AJ$23,$A$3:$A$23),utility!$A$3:$A$23,utility!AJ$3:AJ$23)&amp;" | "&amp;ROUND(COUNTIF(AJ$3:AJ$23,$A33)/21,3)*100&amp;"%","")</f>
        <v>6 | 14,3%</v>
      </c>
      <c r="AK33" t="str">
        <f>IFERROR(_xlfn.XLOOKUP(_xlfn.XLOOKUP($A33,AK$3:AK$23,$A$3:$A$23),utility!$A$3:$A$23,utility!AK$3:AK$23)&amp;" | "&amp;ROUND(COUNTIF(AK$3:AK$23,$A33)/21,3)*100&amp;"%","")</f>
        <v>6 | 9,5%</v>
      </c>
      <c r="AL33" t="str">
        <f>IFERROR(_xlfn.XLOOKUP(_xlfn.XLOOKUP($A33,AL$3:AL$23,$A$3:$A$23),utility!$A$3:$A$23,utility!AL$3:AL$23)&amp;" | "&amp;ROUND(COUNTIF(AL$3:AL$23,$A33)/21,3)*100&amp;"%","")</f>
        <v/>
      </c>
      <c r="AM33" t="str">
        <f>IFERROR(_xlfn.XLOOKUP(_xlfn.XLOOKUP($A33,AM$3:AM$23,$A$3:$A$23),utility!$A$3:$A$23,utility!AM$3:AM$23)&amp;" | "&amp;ROUND(COUNTIF(AM$3:AM$23,$A33)/21,3)*100&amp;"%","")</f>
        <v>6 | 14,3%</v>
      </c>
      <c r="AN33" t="str">
        <f>IFERROR(_xlfn.XLOOKUP(_xlfn.XLOOKUP($A33,AN$3:AN$23,$A$3:$A$23),utility!$A$3:$A$23,utility!AN$3:AN$23)&amp;" | "&amp;ROUND(COUNTIF(AN$3:AN$23,$A33)/21,3)*100&amp;"%","")</f>
        <v>6 | 4,8%</v>
      </c>
      <c r="AO33" t="str">
        <f>IFERROR(_xlfn.XLOOKUP(_xlfn.XLOOKUP($A33,AO$3:AO$23,$A$3:$A$23),utility!$A$3:$A$23,utility!AO$3:AO$23)&amp;" | "&amp;ROUND(COUNTIF(AO$3:AO$23,$A33)/21,3)*100&amp;"%","")</f>
        <v>6 | 23,8%</v>
      </c>
      <c r="AP33" t="str">
        <f>IFERROR(_xlfn.XLOOKUP(_xlfn.XLOOKUP($A33,AP$3:AP$23,$A$3:$A$23),utility!$A$3:$A$23,utility!AP$3:AP$23)&amp;" | "&amp;ROUND(COUNTIF(AP$3:AP$23,$A33)/21,3)*100&amp;"%","")</f>
        <v>6 | 4,8%</v>
      </c>
    </row>
    <row r="34" spans="1:42" x14ac:dyDescent="0.25">
      <c r="A34" t="s">
        <v>28</v>
      </c>
      <c r="H34" t="str">
        <f>IFERROR(_xlfn.XLOOKUP(_xlfn.XLOOKUP($A34,H$3:H$23,$A$3:$A$23),utility!$A$3:$A$23,utility!H$3:H$23)&amp;" | "&amp;ROUND(COUNTIF(H$3:H$23,$A34)/21,3)*100&amp;"%","")</f>
        <v/>
      </c>
      <c r="I34" t="str">
        <f>IFERROR(_xlfn.XLOOKUP(_xlfn.XLOOKUP($A34,I$3:I$23,$A$3:$A$23),utility!$A$3:$A$23,utility!I$3:I$23)&amp;" | "&amp;ROUND(COUNTIF(I$3:I$23,$A34)/21,3)*100&amp;"%","")</f>
        <v/>
      </c>
      <c r="J34" t="str">
        <f>IFERROR(_xlfn.XLOOKUP(_xlfn.XLOOKUP($A34,J$3:J$23,$A$3:$A$23),utility!$A$3:$A$23,utility!J$3:J$23)&amp;" | "&amp;ROUND(COUNTIF(J$3:J$23,$A34)/21,3)*100&amp;"%","")</f>
        <v/>
      </c>
      <c r="K34" t="str">
        <f>IFERROR(_xlfn.XLOOKUP(_xlfn.XLOOKUP($A34,K$3:K$23,$A$3:$A$23),utility!$A$3:$A$23,utility!K$3:K$23)&amp;" | "&amp;ROUND(COUNTIF(K$3:K$23,$A34)/21,3)*100&amp;"%","")</f>
        <v/>
      </c>
      <c r="L34" t="str">
        <f>IFERROR(_xlfn.XLOOKUP(_xlfn.XLOOKUP($A34,L$3:L$23,$A$3:$A$23),utility!$A$3:$A$23,utility!L$3:L$23)&amp;" | "&amp;ROUND(COUNTIF(L$3:L$23,$A34)/21,3)*100&amp;"%","")</f>
        <v/>
      </c>
      <c r="M34" t="str">
        <f>IFERROR(_xlfn.XLOOKUP(_xlfn.XLOOKUP($A34,M$3:M$23,$A$3:$A$23),utility!$A$3:$A$23,utility!M$3:M$23)&amp;" | "&amp;ROUND(COUNTIF(M$3:M$23,$A34)/21,3)*100&amp;"%","")</f>
        <v/>
      </c>
      <c r="N34" t="str">
        <f>IFERROR(_xlfn.XLOOKUP(_xlfn.XLOOKUP($A34,N$3:N$23,$A$3:$A$23),utility!$A$3:$A$23,utility!N$3:N$23)&amp;" | "&amp;ROUND(COUNTIF(N$3:N$23,$A34)/21,3)*100&amp;"%","")</f>
        <v/>
      </c>
      <c r="O34" t="str">
        <f>IFERROR(_xlfn.XLOOKUP(_xlfn.XLOOKUP($A34,O$3:O$23,$A$3:$A$23),utility!$A$3:$A$23,utility!O$3:O$23)&amp;" | "&amp;ROUND(COUNTIF(O$3:O$23,$A34)/21,3)*100&amp;"%","")</f>
        <v/>
      </c>
      <c r="P34" t="str">
        <f>IFERROR(_xlfn.XLOOKUP(_xlfn.XLOOKUP($A34,P$3:P$23,$A$3:$A$23),utility!$A$3:$A$23,utility!P$3:P$23)&amp;" | "&amp;ROUND(COUNTIF(P$3:P$23,$A34)/21,3)*100&amp;"%","")</f>
        <v/>
      </c>
      <c r="Q34" t="str">
        <f>IFERROR(_xlfn.XLOOKUP(_xlfn.XLOOKUP($A34,Q$3:Q$23,$A$3:$A$23),utility!$A$3:$A$23,utility!Q$3:Q$23)&amp;" | "&amp;ROUND(COUNTIF(Q$3:Q$23,$A34)/21,3)*100&amp;"%","")</f>
        <v/>
      </c>
      <c r="R34" t="str">
        <f>IFERROR(_xlfn.XLOOKUP(_xlfn.XLOOKUP($A34,R$3:R$23,$A$3:$A$23),utility!$A$3:$A$23,utility!R$3:R$23)&amp;" | "&amp;ROUND(COUNTIF(R$3:R$23,$A34)/21,3)*100&amp;"%","")</f>
        <v/>
      </c>
      <c r="S34" t="str">
        <f>IFERROR(_xlfn.XLOOKUP(_xlfn.XLOOKUP($A34,S$3:S$23,$A$3:$A$23),utility!$A$3:$A$23,utility!S$3:S$23)&amp;" | "&amp;ROUND(COUNTIF(S$3:S$23,$A34)/21,3)*100&amp;"%","")</f>
        <v/>
      </c>
      <c r="T34" t="str">
        <f>IFERROR(_xlfn.XLOOKUP(_xlfn.XLOOKUP($A34,T$3:T$23,$A$3:$A$23),utility!$A$3:$A$23,utility!T$3:T$23)&amp;" | "&amp;ROUND(COUNTIF(T$3:T$23,$A34)/21,3)*100&amp;"%","")</f>
        <v/>
      </c>
      <c r="U34" t="str">
        <f>IFERROR(_xlfn.XLOOKUP(_xlfn.XLOOKUP($A34,U$3:U$23,$A$3:$A$23),utility!$A$3:$A$23,utility!U$3:U$23)&amp;" | "&amp;ROUND(COUNTIF(U$3:U$23,$A34)/21,3)*100&amp;"%","")</f>
        <v/>
      </c>
      <c r="V34" t="str">
        <f>IFERROR(_xlfn.XLOOKUP(_xlfn.XLOOKUP($A34,V$3:V$23,$A$3:$A$23),utility!$A$3:$A$23,utility!V$3:V$23)&amp;" | "&amp;ROUND(COUNTIF(V$3:V$23,$A34)/21,3)*100&amp;"%","")</f>
        <v/>
      </c>
      <c r="W34" t="str">
        <f>IFERROR(_xlfn.XLOOKUP(_xlfn.XLOOKUP($A34,W$3:W$23,$A$3:$A$23),utility!$A$3:$A$23,utility!W$3:W$23)&amp;" | "&amp;ROUND(COUNTIF(W$3:W$23,$A34)/21,3)*100&amp;"%","")</f>
        <v/>
      </c>
      <c r="X34" t="str">
        <f>IFERROR(_xlfn.XLOOKUP(_xlfn.XLOOKUP($A34,X$3:X$23,$A$3:$A$23),utility!$A$3:$A$23,utility!X$3:X$23)&amp;" | "&amp;ROUND(COUNTIF(X$3:X$23,$A34)/21,3)*100&amp;"%","")</f>
        <v/>
      </c>
      <c r="Y34" t="str">
        <f>IFERROR(_xlfn.XLOOKUP(_xlfn.XLOOKUP($A34,Y$3:Y$23,$A$3:$A$23),utility!$A$3:$A$23,utility!Y$3:Y$23)&amp;" | "&amp;ROUND(COUNTIF(Y$3:Y$23,$A34)/21,3)*100&amp;"%","")</f>
        <v/>
      </c>
      <c r="Z34" t="str">
        <f>IFERROR(_xlfn.XLOOKUP(_xlfn.XLOOKUP($A34,Z$3:Z$23,$A$3:$A$23),utility!$A$3:$A$23,utility!Z$3:Z$23)&amp;" | "&amp;ROUND(COUNTIF(Z$3:Z$23,$A34)/21,3)*100&amp;"%","")</f>
        <v/>
      </c>
      <c r="AA34" t="str">
        <f>IFERROR(_xlfn.XLOOKUP(_xlfn.XLOOKUP($A34,AA$3:AA$23,$A$3:$A$23),utility!$A$3:$A$23,utility!AA$3:AA$23)&amp;" | "&amp;ROUND(COUNTIF(AA$3:AA$23,$A34)/21,3)*100&amp;"%","")</f>
        <v/>
      </c>
      <c r="AB34" t="str">
        <f>IFERROR(_xlfn.XLOOKUP(_xlfn.XLOOKUP($A34,AB$3:AB$23,$A$3:$A$23),utility!$A$3:$A$23,utility!AB$3:AB$23)&amp;" | "&amp;ROUND(COUNTIF(AB$3:AB$23,$A34)/21,3)*100&amp;"%","")</f>
        <v/>
      </c>
      <c r="AC34" t="str">
        <f>IFERROR(_xlfn.XLOOKUP(_xlfn.XLOOKUP($A34,AC$3:AC$23,$A$3:$A$23),utility!$A$3:$A$23,utility!AC$3:AC$23)&amp;" | "&amp;ROUND(COUNTIF(AC$3:AC$23,$A34)/21,3)*100&amp;"%","")</f>
        <v>7 | 38,1%</v>
      </c>
      <c r="AD34" t="str">
        <f>IFERROR(_xlfn.XLOOKUP(_xlfn.XLOOKUP($A34,AD$3:AD$23,$A$3:$A$23),utility!$A$3:$A$23,utility!AD$3:AD$23)&amp;" | "&amp;ROUND(COUNTIF(AD$3:AD$23,$A34)/21,3)*100&amp;"%","")</f>
        <v>7 | 42,9%</v>
      </c>
      <c r="AE34" t="str">
        <f>IFERROR(_xlfn.XLOOKUP(_xlfn.XLOOKUP($A34,AE$3:AE$23,$A$3:$A$23),utility!$A$3:$A$23,utility!AE$3:AE$23)&amp;" | "&amp;ROUND(COUNTIF(AE$3:AE$23,$A34)/21,3)*100&amp;"%","")</f>
        <v>7 | 9,5%</v>
      </c>
      <c r="AF34" t="str">
        <f>IFERROR(_xlfn.XLOOKUP(_xlfn.XLOOKUP($A34,AF$3:AF$23,$A$3:$A$23),utility!$A$3:$A$23,utility!AF$3:AF$23)&amp;" | "&amp;ROUND(COUNTIF(AF$3:AF$23,$A34)/21,3)*100&amp;"%","")</f>
        <v>7 | 61,9%</v>
      </c>
      <c r="AG34" t="str">
        <f>IFERROR(_xlfn.XLOOKUP(_xlfn.XLOOKUP($A34,AG$3:AG$23,$A$3:$A$23),utility!$A$3:$A$23,utility!AG$3:AG$23)&amp;" | "&amp;ROUND(COUNTIF(AG$3:AG$23,$A34)/21,3)*100&amp;"%","")</f>
        <v/>
      </c>
      <c r="AH34" t="str">
        <f>IFERROR(_xlfn.XLOOKUP(_xlfn.XLOOKUP($A34,AH$3:AH$23,$A$3:$A$23),utility!$A$3:$A$23,utility!AH$3:AH$23)&amp;" | "&amp;ROUND(COUNTIF(AH$3:AH$23,$A34)/21,3)*100&amp;"%","")</f>
        <v>7 | 47,6%</v>
      </c>
      <c r="AI34" t="str">
        <f>IFERROR(_xlfn.XLOOKUP(_xlfn.XLOOKUP($A34,AI$3:AI$23,$A$3:$A$23),utility!$A$3:$A$23,utility!AI$3:AI$23)&amp;" | "&amp;ROUND(COUNTIF(AI$3:AI$23,$A34)/21,3)*100&amp;"%","")</f>
        <v/>
      </c>
      <c r="AJ34" t="str">
        <f>IFERROR(_xlfn.XLOOKUP(_xlfn.XLOOKUP($A34,AJ$3:AJ$23,$A$3:$A$23),utility!$A$3:$A$23,utility!AJ$3:AJ$23)&amp;" | "&amp;ROUND(COUNTIF(AJ$3:AJ$23,$A34)/21,3)*100&amp;"%","")</f>
        <v>7 | 28,6%</v>
      </c>
      <c r="AK34" t="str">
        <f>IFERROR(_xlfn.XLOOKUP(_xlfn.XLOOKUP($A34,AK$3:AK$23,$A$3:$A$23),utility!$A$3:$A$23,utility!AK$3:AK$23)&amp;" | "&amp;ROUND(COUNTIF(AK$3:AK$23,$A34)/21,3)*100&amp;"%","")</f>
        <v>7 | 61,9%</v>
      </c>
      <c r="AL34" t="str">
        <f>IFERROR(_xlfn.XLOOKUP(_xlfn.XLOOKUP($A34,AL$3:AL$23,$A$3:$A$23),utility!$A$3:$A$23,utility!AL$3:AL$23)&amp;" | "&amp;ROUND(COUNTIF(AL$3:AL$23,$A34)/21,3)*100&amp;"%","")</f>
        <v/>
      </c>
      <c r="AM34" t="str">
        <f>IFERROR(_xlfn.XLOOKUP(_xlfn.XLOOKUP($A34,AM$3:AM$23,$A$3:$A$23),utility!$A$3:$A$23,utility!AM$3:AM$23)&amp;" | "&amp;ROUND(COUNTIF(AM$3:AM$23,$A34)/21,3)*100&amp;"%","")</f>
        <v>7 | 66,7%</v>
      </c>
      <c r="AN34" t="str">
        <f>IFERROR(_xlfn.XLOOKUP(_xlfn.XLOOKUP($A34,AN$3:AN$23,$A$3:$A$23),utility!$A$3:$A$23,utility!AN$3:AN$23)&amp;" | "&amp;ROUND(COUNTIF(AN$3:AN$23,$A34)/21,3)*100&amp;"%","")</f>
        <v>7 | 4,8%</v>
      </c>
      <c r="AO34" t="str">
        <f>IFERROR(_xlfn.XLOOKUP(_xlfn.XLOOKUP($A34,AO$3:AO$23,$A$3:$A$23),utility!$A$3:$A$23,utility!AO$3:AO$23)&amp;" | "&amp;ROUND(COUNTIF(AO$3:AO$23,$A34)/21,3)*100&amp;"%","")</f>
        <v>7 | 33,3%</v>
      </c>
      <c r="AP34" t="str">
        <f>IFERROR(_xlfn.XLOOKUP(_xlfn.XLOOKUP($A34,AP$3:AP$23,$A$3:$A$23),utility!$A$3:$A$23,utility!AP$3:AP$23)&amp;" | "&amp;ROUND(COUNTIF(AP$3:AP$23,$A34)/21,3)*100&amp;"%","")</f>
        <v>7 | 57,1%</v>
      </c>
    </row>
    <row r="36" spans="1:42" x14ac:dyDescent="0.25">
      <c r="H36" s="28">
        <f>SUM(_xlfn.TEXTAFTER(H28,"| "),_xlfn.TEXTAFTER(H29,"| "))</f>
        <v>0.33299999999999996</v>
      </c>
      <c r="I36" s="28">
        <f>SUM(_xlfn.TEXTAFTER(I30,"| "),_xlfn.TEXTAFTER(I31,"| "))</f>
        <v>0.66700000000000004</v>
      </c>
      <c r="J36" s="28">
        <f>SUM(_xlfn.TEXTAFTER(J32,"| "),J33)</f>
        <v>0.95199999999999996</v>
      </c>
      <c r="O36" s="28">
        <f>SUM(_xlfn.TEXTAFTER(O28," | "),_xlfn.TEXTAFTER(O29," | "))</f>
        <v>0.38100000000000001</v>
      </c>
      <c r="P36" s="28">
        <f>SUM(_xlfn.TEXTAFTER(P30," | "),_xlfn.TEXTAFTER(P31," | "))</f>
        <v>0.80899999999999994</v>
      </c>
      <c r="Q36" s="28">
        <f>SUM(_xlfn.TEXTAFTER(Q32," | "),_xlfn.TEXTAFTER(Q31," | "))</f>
        <v>1</v>
      </c>
      <c r="V36" s="28">
        <f>SUM(_xlfn.TEXTAFTER(V29," | "),_xlfn.TEXTAFTER(V28," | "))</f>
        <v>0.38100000000000001</v>
      </c>
      <c r="W36" s="28">
        <f>SUM(_xlfn.TEXTAFTER(W30," | "),_xlfn.TEXTAFTER(W31," | "))</f>
        <v>0.85699999999999998</v>
      </c>
      <c r="X36" s="28">
        <f>SUM(_xlfn.TEXTAFTER(X32," | "),_xlfn.TEXTAFTER(X31," | "))</f>
        <v>1</v>
      </c>
    </row>
    <row r="39" spans="1:42" x14ac:dyDescent="0.25">
      <c r="H39" s="33"/>
    </row>
    <row r="40" spans="1:42" ht="15.75" thickBot="1" x14ac:dyDescent="0.3">
      <c r="G40" s="33" t="s">
        <v>108</v>
      </c>
    </row>
    <row r="41" spans="1:42" ht="15.75" thickBot="1" x14ac:dyDescent="0.3">
      <c r="G41" s="34" t="s">
        <v>109</v>
      </c>
      <c r="H41" s="35" t="s">
        <v>110</v>
      </c>
      <c r="I41" s="35" t="s">
        <v>111</v>
      </c>
      <c r="J41" s="35" t="s">
        <v>117</v>
      </c>
      <c r="K41" s="36" t="s">
        <v>112</v>
      </c>
    </row>
    <row r="42" spans="1:42" ht="15.75" thickBot="1" x14ac:dyDescent="0.3">
      <c r="G42" s="38" t="s">
        <v>113</v>
      </c>
      <c r="H42" s="39" t="s">
        <v>116</v>
      </c>
      <c r="I42" s="40">
        <f>AVERAGE(_xlfn.TEXTAFTER(H29,"| "),_xlfn.TEXTAFTER(I30,"| "),_xlfn.TEXTAFTER(J32,"| "))</f>
        <v>0.47599999999999998</v>
      </c>
      <c r="J42" s="41">
        <f>AVERAGE(H36,I36,J36)</f>
        <v>0.65066666666666662</v>
      </c>
      <c r="K42" s="42">
        <f>SUM(100%-J42)</f>
        <v>0.34933333333333338</v>
      </c>
      <c r="AG42" s="33" t="s">
        <v>135</v>
      </c>
      <c r="AH42" t="s">
        <v>132</v>
      </c>
      <c r="AI42" t="s">
        <v>133</v>
      </c>
      <c r="AJ42" t="s">
        <v>134</v>
      </c>
      <c r="AL42" s="33" t="s">
        <v>136</v>
      </c>
      <c r="AM42" t="s">
        <v>132</v>
      </c>
      <c r="AN42" t="s">
        <v>133</v>
      </c>
      <c r="AO42" t="s">
        <v>134</v>
      </c>
    </row>
    <row r="43" spans="1:42" ht="15.75" thickBot="1" x14ac:dyDescent="0.3">
      <c r="G43" s="43" t="s">
        <v>114</v>
      </c>
      <c r="H43" t="s">
        <v>116</v>
      </c>
      <c r="I43" s="44">
        <f>AVERAGE(_xlfn.TEXTAFTER(O29,"| "),_xlfn.TEXTAFTER(P30,"| "),_xlfn.TEXTAFTER(Q32,"| "))</f>
        <v>0.52366666666666672</v>
      </c>
      <c r="J43" s="44">
        <f>AVERAGE(O36,P36,Q36)</f>
        <v>0.73</v>
      </c>
      <c r="K43" s="45">
        <f t="shared" ref="K43:K44" si="3">SUM(100%-J43)</f>
        <v>0.27</v>
      </c>
      <c r="AG43" s="34" t="s">
        <v>126</v>
      </c>
      <c r="AH43" s="58" t="s">
        <v>124</v>
      </c>
      <c r="AI43" s="58" t="s">
        <v>125</v>
      </c>
      <c r="AJ43" s="58" t="s">
        <v>112</v>
      </c>
      <c r="AL43" s="34" t="s">
        <v>126</v>
      </c>
      <c r="AM43" s="58" t="s">
        <v>124</v>
      </c>
      <c r="AN43" s="58" t="s">
        <v>125</v>
      </c>
      <c r="AO43" s="58" t="s">
        <v>112</v>
      </c>
    </row>
    <row r="44" spans="1:42" ht="15.75" thickBot="1" x14ac:dyDescent="0.3">
      <c r="G44" s="16" t="s">
        <v>115</v>
      </c>
      <c r="H44" s="37" t="s">
        <v>116</v>
      </c>
      <c r="I44" s="46">
        <f>AVERAGE(_xlfn.TEXTAFTER(V29,"| "),_xlfn.TEXTAFTER(W30,"| "),_xlfn.TEXTAFTER(X32,"| "))</f>
        <v>0.46033333333333332</v>
      </c>
      <c r="J44" s="46">
        <f>AVERAGE(V36,W36,X36)</f>
        <v>0.746</v>
      </c>
      <c r="K44" s="47">
        <f t="shared" si="3"/>
        <v>0.254</v>
      </c>
      <c r="AG44" s="52" t="s">
        <v>127</v>
      </c>
      <c r="AH44" s="53" cm="1">
        <f t="array" ref="AH44">MEDIAN(VALUE(RIGHT(AH3:AH23,2)))</f>
        <v>6</v>
      </c>
      <c r="AI44" s="56" cm="1">
        <f t="array" ref="AI44">_xlfn.MODE.SNGL(VALUE(RIGHT(AH3:AH23,2)))</f>
        <v>7</v>
      </c>
      <c r="AJ44" s="57" cm="1">
        <f t="array" ref="AJ44">_xlfn.STDEV.S(VALUE(RIGHT(AH3:AH23,2)))</f>
        <v>1.321975433818287</v>
      </c>
      <c r="AL44" s="52" t="s">
        <v>127</v>
      </c>
      <c r="AM44" s="53" cm="1">
        <f t="array" ref="AM44">MEDIAN(VALUE(RIGHT(AM3:AM23,2)))</f>
        <v>7</v>
      </c>
      <c r="AN44" s="56" cm="1">
        <f t="array" ref="AN44">_xlfn.MODE.SNGL(VALUE(RIGHT(AM3:AM23,2)))</f>
        <v>7</v>
      </c>
      <c r="AO44" s="57" cm="1">
        <f t="array" ref="AO44">_xlfn.STDEV.S(VALUE(RIGHT(AM3:AM23,2)))</f>
        <v>0.81357529578076493</v>
      </c>
    </row>
    <row r="45" spans="1:42" x14ac:dyDescent="0.25">
      <c r="AG45" s="51" t="s">
        <v>128</v>
      </c>
      <c r="AH45" s="53" cm="1">
        <f t="array" ref="AH45">MEDIAN(VALUE(RIGHT(AI3:AI23,2)))</f>
        <v>2</v>
      </c>
      <c r="AI45" s="56" cm="1">
        <f t="array" ref="AI45">_xlfn.MODE.SNGL(VALUE(RIGHT(AI3:AI23,2)))</f>
        <v>1</v>
      </c>
      <c r="AJ45" s="57" cm="1">
        <f t="array" ref="AJ45">_xlfn.STDEV.S(VALUE(RIGHT(AI3:AI23,2)))</f>
        <v>1.4605934866804431</v>
      </c>
      <c r="AL45" s="51" t="s">
        <v>128</v>
      </c>
      <c r="AM45" s="53" cm="1">
        <f t="array" ref="AM45">MEDIAN(VALUE(RIGHT(AN3:AN23,2)))</f>
        <v>1</v>
      </c>
      <c r="AN45" s="56" cm="1">
        <f t="array" ref="AN45">_xlfn.MODE.SNGL(VALUE(RIGHT(AN3:AN23,2)))</f>
        <v>1</v>
      </c>
      <c r="AO45" s="57" cm="1">
        <f t="array" ref="AO45">_xlfn.STDEV.S(VALUE(RIGHT(AN3:AN23,2)))</f>
        <v>1.8439088914585775</v>
      </c>
    </row>
    <row r="46" spans="1:42" x14ac:dyDescent="0.25">
      <c r="AG46" s="51" t="s">
        <v>129</v>
      </c>
      <c r="AH46" s="53" cm="1">
        <f t="array" ref="AH46">MEDIAN(VALUE(RIGHT(AJ3:AJ23,2)))</f>
        <v>5</v>
      </c>
      <c r="AI46" s="56" cm="1">
        <f t="array" ref="AI46">_xlfn.MODE.SNGL(VALUE(RIGHT(AJ3:AJ23,2)))</f>
        <v>7</v>
      </c>
      <c r="AJ46" s="57" cm="1">
        <f t="array" ref="AJ46">_xlfn.STDEV.S(VALUE(RIGHT(AJ3:AJ23,2)))</f>
        <v>1.8516401995451028</v>
      </c>
      <c r="AL46" s="51" t="s">
        <v>129</v>
      </c>
      <c r="AM46" s="53" cm="1">
        <f t="array" ref="AM46">MEDIAN(VALUE(RIGHT(AO3:AO23,2)))</f>
        <v>6</v>
      </c>
      <c r="AN46" s="56" cm="1">
        <f t="array" ref="AN46">_xlfn.MODE.SNGL(VALUE(RIGHT(AO3:AO23,2)))</f>
        <v>7</v>
      </c>
      <c r="AO46" s="57" cm="1">
        <f t="array" ref="AO46">_xlfn.STDEV.S(VALUE(RIGHT(AO3:AO23,2)))</f>
        <v>1.503963018795595</v>
      </c>
    </row>
    <row r="47" spans="1:42" ht="15.75" thickBot="1" x14ac:dyDescent="0.3">
      <c r="G47" s="33" t="s">
        <v>118</v>
      </c>
      <c r="AG47" s="54" t="s">
        <v>131</v>
      </c>
      <c r="AH47" s="53" cm="1">
        <f t="array" ref="AH47">MEDIAN(VALUE(RIGHT(AK3:AK23,2)))</f>
        <v>7</v>
      </c>
      <c r="AI47" s="56" cm="1">
        <f t="array" ref="AI47">_xlfn.MODE.SNGL(VALUE(RIGHT(AK3:AK23,2)))</f>
        <v>7</v>
      </c>
      <c r="AJ47" s="57" cm="1">
        <f t="array" ref="AJ47">_xlfn.STDEV.S(VALUE(RIGHT(AK3:AK23,2)))</f>
        <v>2.2488092087019864</v>
      </c>
      <c r="AL47" s="54" t="s">
        <v>131</v>
      </c>
      <c r="AM47" s="53" cm="1">
        <f t="array" ref="AM47">MEDIAN(VALUE(RIGHT(AP3:AP23,2)))</f>
        <v>7</v>
      </c>
      <c r="AN47" s="56" cm="1">
        <f t="array" ref="AN47">_xlfn.MODE.SNGL(VALUE(RIGHT(AP3:AP23,2)))</f>
        <v>7</v>
      </c>
      <c r="AO47" s="57" cm="1">
        <f t="array" ref="AO47">_xlfn.STDEV.S(VALUE(RIGHT(AP3:AP23,2)))</f>
        <v>2.4270303233532524</v>
      </c>
    </row>
    <row r="48" spans="1:42" ht="15.75" thickBot="1" x14ac:dyDescent="0.3">
      <c r="G48" s="34" t="s">
        <v>109</v>
      </c>
      <c r="H48" s="35" t="s">
        <v>110</v>
      </c>
      <c r="I48" s="35" t="s">
        <v>119</v>
      </c>
      <c r="J48" s="35" t="s">
        <v>120</v>
      </c>
      <c r="K48" s="36" t="s">
        <v>121</v>
      </c>
    </row>
    <row r="49" spans="7:11" x14ac:dyDescent="0.25">
      <c r="G49" s="38" t="s">
        <v>113</v>
      </c>
      <c r="H49" s="39" t="s">
        <v>116</v>
      </c>
      <c r="I49" s="40">
        <f>AVERAGE(_xlfn.TEXTAFTER(K28," | "),_xlfn.TEXTAFTER(L28," | "),_xlfn.TEXTAFTER(M29," | "))</f>
        <v>0.85699999999999987</v>
      </c>
      <c r="J49" s="40">
        <f>AVERAGE(
VALUE(_xlfn.TEXTAFTER(K31," | ")),
VALUE(_xlfn.TEXTAFTER(L29," | ")) + VALUE(_xlfn.TEXTAFTER(L31," | ")),
VALUE(_xlfn.TEXTAFTER(M31," | "))
)</f>
        <v>0.14299999999999999</v>
      </c>
      <c r="K49" s="49">
        <v>0</v>
      </c>
    </row>
    <row r="50" spans="7:11" x14ac:dyDescent="0.25">
      <c r="G50" s="43" t="s">
        <v>114</v>
      </c>
      <c r="H50" t="s">
        <v>116</v>
      </c>
      <c r="I50" s="44">
        <f>AVERAGE(_xlfn.TEXTAFTER(R32," | "),_xlfn.TEXTAFTER(S32," | "),_xlfn.TEXTAFTER(T32," | "))</f>
        <v>0.63533333333333342</v>
      </c>
      <c r="J50" s="44">
        <f>AVERAGE(
_xlfn.TEXTAFTER(R33," | "),_xlfn.TEXTAFTER(S33," | ")+_xlfn.TEXTAFTER(S31," | "),_xlfn.TEXTAFTER(T33," | ")+_xlfn.TEXTAFTER(T31," | "))</f>
        <v>0.33300000000000002</v>
      </c>
      <c r="K50" s="48">
        <v>0.03</v>
      </c>
    </row>
    <row r="51" spans="7:11" ht="15.75" thickBot="1" x14ac:dyDescent="0.3">
      <c r="G51" s="16" t="s">
        <v>115</v>
      </c>
      <c r="H51" s="37" t="s">
        <v>116</v>
      </c>
      <c r="I51" s="46">
        <f>AVERAGE(_xlfn.TEXTAFTER(Y31," | "),_xlfn.TEXTAFTER(Z31," | "),_xlfn.TEXTAFTER(AA32," | "))</f>
        <v>0.84133333333333338</v>
      </c>
      <c r="J51" s="46">
        <f>AVERAGE(
(Y30),
_xlfn.TEXTAFTER(Z33," | "),
_xlfn.TEXTAFTER(AA33," | ")+_xlfn.TEXTAFTER(AA31," | ")
)</f>
        <v>0.159</v>
      </c>
      <c r="K51" s="50">
        <v>0</v>
      </c>
    </row>
    <row r="53" spans="7:11" ht="15.75" thickBot="1" x14ac:dyDescent="0.3"/>
    <row r="54" spans="7:11" ht="15.75" thickBot="1" x14ac:dyDescent="0.3">
      <c r="G54" s="59" t="s">
        <v>130</v>
      </c>
      <c r="H54" s="35" t="s">
        <v>132</v>
      </c>
      <c r="I54" s="35" t="s">
        <v>133</v>
      </c>
      <c r="J54" s="36" t="s">
        <v>134</v>
      </c>
    </row>
    <row r="55" spans="7:11" ht="15.75" thickBot="1" x14ac:dyDescent="0.3">
      <c r="G55" s="34" t="s">
        <v>126</v>
      </c>
      <c r="H55" s="58" t="s">
        <v>124</v>
      </c>
      <c r="I55" s="58" t="s">
        <v>125</v>
      </c>
      <c r="J55" s="58" t="s">
        <v>112</v>
      </c>
    </row>
    <row r="56" spans="7:11" x14ac:dyDescent="0.25">
      <c r="G56" s="52" t="s">
        <v>127</v>
      </c>
      <c r="H56" s="53" cm="1">
        <f t="array" ref="H56">MEDIAN(VALUE(RIGHT(AC3:AC23,2)))</f>
        <v>6</v>
      </c>
      <c r="I56" s="56" cm="1">
        <f t="array" ref="I56">_xlfn.MODE.SNGL(VALUE(RIGHT(AC3:AC23,2)))</f>
        <v>7</v>
      </c>
      <c r="J56" s="57" cm="1">
        <f t="array" ref="J56">_xlfn.STDEV.S(VALUE(RIGHT(AC3:AC23,2)))</f>
        <v>1.7196345126633321</v>
      </c>
      <c r="K56" s="44"/>
    </row>
    <row r="57" spans="7:11" x14ac:dyDescent="0.25">
      <c r="G57" s="51" t="s">
        <v>128</v>
      </c>
      <c r="H57" s="21" cm="1">
        <f t="array" ref="H57">MEDIAN(VALUE(RIGHT(AD3:AD23,2)))</f>
        <v>6</v>
      </c>
      <c r="I57" s="56" cm="1">
        <f t="array" ref="I57">_xlfn.MODE.SNGL(VALUE(RIGHT(AD3:AD23,2)))</f>
        <v>7</v>
      </c>
      <c r="J57" s="57" cm="1">
        <f t="array" ref="J57">_xlfn.STDEV.S(VALUE(RIGHT(AD3:AD23,2)))</f>
        <v>2.5279391192186949</v>
      </c>
      <c r="K57" s="55"/>
    </row>
    <row r="58" spans="7:11" x14ac:dyDescent="0.25">
      <c r="G58" s="51" t="s">
        <v>129</v>
      </c>
      <c r="H58" s="21" cm="1">
        <f t="array" ref="H58">MEDIAN(VALUE(RIGHT(AE3:AE23,2)))</f>
        <v>4</v>
      </c>
      <c r="I58" s="56" cm="1">
        <f t="array" ref="I58">_xlfn.MODE.SNGL(VALUE(RIGHT(AE3:AE23,2)))</f>
        <v>2</v>
      </c>
      <c r="J58" s="57" cm="1">
        <f t="array" ref="J58">_xlfn.STDEV.S(VALUE(RIGHT(AE3:AE23,2)))</f>
        <v>1.9820624179302295</v>
      </c>
      <c r="K58" s="44"/>
    </row>
    <row r="59" spans="7:11" x14ac:dyDescent="0.25">
      <c r="G59" s="54" t="s">
        <v>131</v>
      </c>
      <c r="H59" s="24" cm="1">
        <f t="array" ref="H59">MEDIAN(VALUE(RIGHT(AF3:AF23,2)))</f>
        <v>7</v>
      </c>
      <c r="I59" s="56" cm="1">
        <f t="array" ref="I59">_xlfn.MODE.SNGL(VALUE(RIGHT(AF3:AF23,2)))</f>
        <v>7</v>
      </c>
      <c r="J59" s="57" cm="1">
        <f t="array" ref="J59">_xlfn.STDEV.S(VALUE(RIGHT(AK3:AK23,2)))</f>
        <v>2.2488092087019864</v>
      </c>
    </row>
  </sheetData>
  <phoneticPr fontId="18" type="noConversion"/>
  <pageMargins left="0.7" right="0.7" top="0.78740157499999996" bottom="0.78740157499999996"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65BC-0D65-E64F-8B4F-A3469A260104}">
  <dimension ref="A2:AP23"/>
  <sheetViews>
    <sheetView topLeftCell="I1" zoomScale="150" workbookViewId="0">
      <selection activeCell="H27" sqref="H27"/>
    </sheetView>
  </sheetViews>
  <sheetFormatPr baseColWidth="10" defaultRowHeight="15" x14ac:dyDescent="0.25"/>
  <cols>
    <col min="20" max="20" width="41.28515625" customWidth="1"/>
  </cols>
  <sheetData>
    <row r="2" spans="1:42" x14ac:dyDescent="0.25">
      <c r="A2" t="s">
        <v>0</v>
      </c>
      <c r="B2" t="s">
        <v>1</v>
      </c>
      <c r="C2" t="s">
        <v>2</v>
      </c>
      <c r="D2" t="s">
        <v>3</v>
      </c>
      <c r="E2" t="s">
        <v>4</v>
      </c>
      <c r="F2" t="s">
        <v>5</v>
      </c>
      <c r="G2" s="12" t="s">
        <v>6</v>
      </c>
      <c r="H2" t="s">
        <v>7</v>
      </c>
      <c r="I2" t="s">
        <v>8</v>
      </c>
      <c r="J2" t="s">
        <v>9</v>
      </c>
      <c r="K2" t="s">
        <v>10</v>
      </c>
      <c r="L2" t="s">
        <v>11</v>
      </c>
      <c r="M2" t="s">
        <v>10</v>
      </c>
      <c r="N2" s="12" t="s">
        <v>12</v>
      </c>
      <c r="O2" t="s">
        <v>7</v>
      </c>
      <c r="P2" t="s">
        <v>8</v>
      </c>
      <c r="Q2" t="s">
        <v>9</v>
      </c>
      <c r="R2" t="s">
        <v>11</v>
      </c>
      <c r="S2" t="s">
        <v>11</v>
      </c>
      <c r="T2" t="s">
        <v>10</v>
      </c>
      <c r="U2" s="12" t="s">
        <v>13</v>
      </c>
      <c r="V2" t="s">
        <v>7</v>
      </c>
      <c r="W2" t="s">
        <v>8</v>
      </c>
      <c r="X2" t="s">
        <v>9</v>
      </c>
      <c r="Y2" t="s">
        <v>10</v>
      </c>
      <c r="Z2" t="s">
        <v>11</v>
      </c>
      <c r="AA2" t="s">
        <v>10</v>
      </c>
      <c r="AB2" s="12" t="s">
        <v>14</v>
      </c>
      <c r="AC2" t="s">
        <v>15</v>
      </c>
      <c r="AD2" t="s">
        <v>16</v>
      </c>
      <c r="AE2" t="s">
        <v>17</v>
      </c>
      <c r="AF2" t="s">
        <v>18</v>
      </c>
      <c r="AG2" s="12" t="s">
        <v>14</v>
      </c>
      <c r="AH2" t="s">
        <v>19</v>
      </c>
      <c r="AI2" t="s">
        <v>20</v>
      </c>
      <c r="AJ2" t="s">
        <v>21</v>
      </c>
      <c r="AK2" t="s">
        <v>18</v>
      </c>
      <c r="AL2" s="12" t="s">
        <v>14</v>
      </c>
      <c r="AM2" t="s">
        <v>19</v>
      </c>
      <c r="AN2" t="s">
        <v>20</v>
      </c>
      <c r="AO2" t="s">
        <v>21</v>
      </c>
      <c r="AP2" t="s">
        <v>18</v>
      </c>
    </row>
    <row r="3" spans="1:42" x14ac:dyDescent="0.25">
      <c r="A3">
        <v>5</v>
      </c>
      <c r="B3">
        <v>28</v>
      </c>
      <c r="C3">
        <v>4</v>
      </c>
      <c r="D3" t="s">
        <v>73</v>
      </c>
      <c r="E3" t="s">
        <v>74</v>
      </c>
      <c r="F3" t="s">
        <v>75</v>
      </c>
      <c r="G3" s="12" t="s">
        <v>106</v>
      </c>
      <c r="H3" t="s">
        <v>76</v>
      </c>
      <c r="I3" t="s">
        <v>77</v>
      </c>
      <c r="J3" t="s">
        <v>78</v>
      </c>
      <c r="K3" t="s">
        <v>79</v>
      </c>
      <c r="L3" t="s">
        <v>80</v>
      </c>
      <c r="M3" t="s">
        <v>81</v>
      </c>
      <c r="N3" s="12" t="s">
        <v>106</v>
      </c>
      <c r="O3" t="s">
        <v>82</v>
      </c>
      <c r="P3" t="s">
        <v>77</v>
      </c>
      <c r="Q3" t="s">
        <v>78</v>
      </c>
      <c r="R3" t="s">
        <v>83</v>
      </c>
      <c r="S3" t="s">
        <v>84</v>
      </c>
      <c r="T3" t="s">
        <v>85</v>
      </c>
      <c r="U3" s="12" t="s">
        <v>106</v>
      </c>
      <c r="V3" t="s">
        <v>86</v>
      </c>
      <c r="W3" t="s">
        <v>82</v>
      </c>
      <c r="X3" t="s">
        <v>77</v>
      </c>
      <c r="Y3" t="s">
        <v>79</v>
      </c>
      <c r="Z3" t="s">
        <v>87</v>
      </c>
      <c r="AA3" t="s">
        <v>81</v>
      </c>
      <c r="AB3" s="12" t="s">
        <v>106</v>
      </c>
      <c r="AC3">
        <v>3</v>
      </c>
      <c r="AD3">
        <v>5</v>
      </c>
      <c r="AE3">
        <v>2</v>
      </c>
      <c r="AF3">
        <v>6</v>
      </c>
      <c r="AG3" s="12" t="s">
        <v>106</v>
      </c>
      <c r="AH3">
        <v>5</v>
      </c>
      <c r="AI3">
        <v>3</v>
      </c>
      <c r="AJ3">
        <v>4</v>
      </c>
      <c r="AK3">
        <v>7</v>
      </c>
      <c r="AL3" s="12" t="s">
        <v>106</v>
      </c>
      <c r="AM3">
        <v>5</v>
      </c>
      <c r="AN3">
        <v>5</v>
      </c>
      <c r="AO3">
        <v>5</v>
      </c>
      <c r="AP3">
        <v>4</v>
      </c>
    </row>
    <row r="4" spans="1:42" x14ac:dyDescent="0.25">
      <c r="A4">
        <v>7</v>
      </c>
      <c r="B4">
        <v>26</v>
      </c>
      <c r="C4">
        <v>2</v>
      </c>
      <c r="D4" t="s">
        <v>73</v>
      </c>
      <c r="E4" t="s">
        <v>88</v>
      </c>
      <c r="F4" t="s">
        <v>89</v>
      </c>
      <c r="G4" s="12" t="s">
        <v>106</v>
      </c>
      <c r="H4" t="s">
        <v>90</v>
      </c>
      <c r="I4" t="s">
        <v>77</v>
      </c>
      <c r="J4" t="s">
        <v>78</v>
      </c>
      <c r="K4" t="s">
        <v>79</v>
      </c>
      <c r="L4" t="s">
        <v>80</v>
      </c>
      <c r="M4" t="s">
        <v>81</v>
      </c>
      <c r="N4" s="12" t="s">
        <v>106</v>
      </c>
      <c r="O4" t="s">
        <v>82</v>
      </c>
      <c r="P4" t="s">
        <v>77</v>
      </c>
      <c r="Q4" t="s">
        <v>78</v>
      </c>
      <c r="R4" t="s">
        <v>80</v>
      </c>
      <c r="S4" t="s">
        <v>80</v>
      </c>
      <c r="T4" t="s">
        <v>91</v>
      </c>
      <c r="U4" s="12" t="s">
        <v>106</v>
      </c>
      <c r="V4" t="s">
        <v>82</v>
      </c>
      <c r="W4" t="s">
        <v>77</v>
      </c>
      <c r="X4" t="s">
        <v>78</v>
      </c>
      <c r="Y4" t="s">
        <v>79</v>
      </c>
      <c r="Z4" t="s">
        <v>80</v>
      </c>
      <c r="AA4" t="s">
        <v>81</v>
      </c>
      <c r="AB4" s="12" t="s">
        <v>106</v>
      </c>
      <c r="AC4">
        <v>6</v>
      </c>
      <c r="AD4">
        <v>7</v>
      </c>
      <c r="AE4">
        <v>4</v>
      </c>
      <c r="AF4">
        <v>7</v>
      </c>
      <c r="AG4" s="12" t="s">
        <v>106</v>
      </c>
      <c r="AH4">
        <v>7</v>
      </c>
      <c r="AI4">
        <v>1</v>
      </c>
      <c r="AJ4">
        <v>6</v>
      </c>
      <c r="AK4">
        <v>7</v>
      </c>
      <c r="AL4" s="12" t="s">
        <v>106</v>
      </c>
      <c r="AM4">
        <v>7</v>
      </c>
      <c r="AN4">
        <v>1</v>
      </c>
      <c r="AO4">
        <v>6</v>
      </c>
      <c r="AP4">
        <v>7</v>
      </c>
    </row>
    <row r="5" spans="1:42" x14ac:dyDescent="0.25">
      <c r="A5">
        <v>8</v>
      </c>
      <c r="B5">
        <v>26</v>
      </c>
      <c r="C5">
        <v>4</v>
      </c>
      <c r="D5" t="s">
        <v>92</v>
      </c>
      <c r="E5" t="s">
        <v>74</v>
      </c>
      <c r="F5" t="s">
        <v>75</v>
      </c>
      <c r="G5" s="12" t="s">
        <v>106</v>
      </c>
      <c r="H5" t="s">
        <v>93</v>
      </c>
      <c r="I5" t="s">
        <v>77</v>
      </c>
      <c r="J5" t="s">
        <v>78</v>
      </c>
      <c r="K5" t="s">
        <v>79</v>
      </c>
      <c r="L5" t="s">
        <v>87</v>
      </c>
      <c r="M5" t="s">
        <v>81</v>
      </c>
      <c r="N5" s="12" t="s">
        <v>106</v>
      </c>
      <c r="O5" t="s">
        <v>82</v>
      </c>
      <c r="P5" t="s">
        <v>82</v>
      </c>
      <c r="Q5" t="s">
        <v>78</v>
      </c>
      <c r="R5" t="s">
        <v>83</v>
      </c>
      <c r="S5" t="s">
        <v>80</v>
      </c>
      <c r="T5" t="s">
        <v>91</v>
      </c>
      <c r="U5" s="12" t="s">
        <v>106</v>
      </c>
      <c r="V5" t="s">
        <v>82</v>
      </c>
      <c r="W5" t="s">
        <v>77</v>
      </c>
      <c r="X5" t="s">
        <v>78</v>
      </c>
      <c r="Y5" t="s">
        <v>79</v>
      </c>
      <c r="Z5" t="s">
        <v>80</v>
      </c>
      <c r="AA5" t="s">
        <v>81</v>
      </c>
      <c r="AB5" s="12" t="s">
        <v>106</v>
      </c>
      <c r="AC5">
        <v>7</v>
      </c>
      <c r="AD5">
        <v>2</v>
      </c>
      <c r="AE5">
        <v>6</v>
      </c>
      <c r="AF5">
        <v>7</v>
      </c>
      <c r="AG5" s="12" t="s">
        <v>106</v>
      </c>
      <c r="AH5">
        <v>7</v>
      </c>
      <c r="AI5">
        <v>2</v>
      </c>
      <c r="AJ5">
        <v>4</v>
      </c>
      <c r="AK5">
        <v>7</v>
      </c>
      <c r="AL5" s="12" t="s">
        <v>106</v>
      </c>
      <c r="AM5">
        <v>7</v>
      </c>
      <c r="AN5">
        <v>2</v>
      </c>
      <c r="AO5">
        <v>6</v>
      </c>
      <c r="AP5">
        <v>7</v>
      </c>
    </row>
    <row r="6" spans="1:42" x14ac:dyDescent="0.25">
      <c r="A6">
        <v>9</v>
      </c>
      <c r="B6">
        <v>25</v>
      </c>
      <c r="C6">
        <v>3</v>
      </c>
      <c r="D6" t="s">
        <v>92</v>
      </c>
      <c r="E6" t="s">
        <v>74</v>
      </c>
      <c r="F6" t="s">
        <v>75</v>
      </c>
      <c r="G6" s="12" t="s">
        <v>106</v>
      </c>
      <c r="H6" t="s">
        <v>94</v>
      </c>
      <c r="I6" t="s">
        <v>86</v>
      </c>
      <c r="J6" t="s">
        <v>78</v>
      </c>
      <c r="K6" t="s">
        <v>79</v>
      </c>
      <c r="L6" t="s">
        <v>87</v>
      </c>
      <c r="M6" t="s">
        <v>81</v>
      </c>
      <c r="N6" s="12" t="s">
        <v>106</v>
      </c>
      <c r="O6" t="s">
        <v>82</v>
      </c>
      <c r="P6" t="s">
        <v>77</v>
      </c>
      <c r="Q6" t="s">
        <v>78</v>
      </c>
      <c r="R6" t="s">
        <v>80</v>
      </c>
      <c r="S6" t="s">
        <v>84</v>
      </c>
      <c r="T6" t="s">
        <v>95</v>
      </c>
      <c r="U6" s="12" t="s">
        <v>106</v>
      </c>
      <c r="V6" t="s">
        <v>78</v>
      </c>
      <c r="W6" t="s">
        <v>77</v>
      </c>
      <c r="X6" t="s">
        <v>78</v>
      </c>
      <c r="Y6" t="s">
        <v>79</v>
      </c>
      <c r="Z6" t="s">
        <v>80</v>
      </c>
      <c r="AA6" t="s">
        <v>81</v>
      </c>
      <c r="AB6" s="12" t="s">
        <v>106</v>
      </c>
      <c r="AC6">
        <v>6</v>
      </c>
      <c r="AD6">
        <v>5</v>
      </c>
      <c r="AE6">
        <v>1</v>
      </c>
      <c r="AF6">
        <v>1</v>
      </c>
      <c r="AG6" s="12" t="s">
        <v>106</v>
      </c>
      <c r="AH6">
        <v>4</v>
      </c>
      <c r="AI6">
        <v>1</v>
      </c>
      <c r="AJ6">
        <v>1</v>
      </c>
      <c r="AK6">
        <v>1</v>
      </c>
      <c r="AL6" s="12" t="s">
        <v>106</v>
      </c>
      <c r="AM6">
        <v>7</v>
      </c>
      <c r="AN6">
        <v>7</v>
      </c>
      <c r="AO6">
        <v>3</v>
      </c>
      <c r="AP6">
        <v>7</v>
      </c>
    </row>
    <row r="7" spans="1:42" x14ac:dyDescent="0.25">
      <c r="A7">
        <v>11</v>
      </c>
      <c r="B7">
        <v>27</v>
      </c>
      <c r="C7">
        <v>4</v>
      </c>
      <c r="D7" t="s">
        <v>92</v>
      </c>
      <c r="E7" t="s">
        <v>96</v>
      </c>
      <c r="F7" t="s">
        <v>75</v>
      </c>
      <c r="G7" s="12" t="s">
        <v>106</v>
      </c>
      <c r="H7" t="s">
        <v>93</v>
      </c>
      <c r="I7" t="s">
        <v>77</v>
      </c>
      <c r="J7" t="s">
        <v>78</v>
      </c>
      <c r="K7" t="s">
        <v>79</v>
      </c>
      <c r="L7" t="s">
        <v>87</v>
      </c>
      <c r="M7" t="s">
        <v>80</v>
      </c>
      <c r="N7" s="12" t="s">
        <v>106</v>
      </c>
      <c r="O7" t="s">
        <v>82</v>
      </c>
      <c r="P7" t="s">
        <v>77</v>
      </c>
      <c r="Q7" t="s">
        <v>78</v>
      </c>
      <c r="R7" t="s">
        <v>83</v>
      </c>
      <c r="S7" t="s">
        <v>80</v>
      </c>
      <c r="T7" t="s">
        <v>91</v>
      </c>
      <c r="U7" s="12" t="s">
        <v>106</v>
      </c>
      <c r="V7" t="s">
        <v>82</v>
      </c>
      <c r="W7" t="s">
        <v>77</v>
      </c>
      <c r="X7" t="s">
        <v>78</v>
      </c>
      <c r="Y7" t="s">
        <v>79</v>
      </c>
      <c r="Z7" t="s">
        <v>87</v>
      </c>
      <c r="AA7" t="s">
        <v>80</v>
      </c>
      <c r="AB7" s="12" t="s">
        <v>106</v>
      </c>
      <c r="AC7">
        <v>5</v>
      </c>
      <c r="AD7">
        <v>1</v>
      </c>
      <c r="AE7">
        <v>2</v>
      </c>
      <c r="AF7">
        <v>7</v>
      </c>
      <c r="AG7" s="12" t="s">
        <v>106</v>
      </c>
      <c r="AH7">
        <v>5</v>
      </c>
      <c r="AI7">
        <v>4</v>
      </c>
      <c r="AJ7">
        <v>2</v>
      </c>
      <c r="AK7">
        <v>6</v>
      </c>
      <c r="AL7" s="12" t="s">
        <v>106</v>
      </c>
      <c r="AM7">
        <v>5</v>
      </c>
      <c r="AN7">
        <v>1</v>
      </c>
      <c r="AO7">
        <v>2</v>
      </c>
      <c r="AP7">
        <v>4</v>
      </c>
    </row>
    <row r="8" spans="1:42" x14ac:dyDescent="0.25">
      <c r="A8">
        <v>12</v>
      </c>
      <c r="B8">
        <v>28</v>
      </c>
      <c r="C8">
        <v>1</v>
      </c>
      <c r="D8" t="s">
        <v>73</v>
      </c>
      <c r="E8" t="s">
        <v>96</v>
      </c>
      <c r="F8" t="s">
        <v>89</v>
      </c>
      <c r="G8" s="12" t="s">
        <v>106</v>
      </c>
      <c r="H8" t="s">
        <v>94</v>
      </c>
      <c r="I8" t="s">
        <v>82</v>
      </c>
      <c r="J8" t="s">
        <v>78</v>
      </c>
      <c r="K8" t="s">
        <v>79</v>
      </c>
      <c r="L8" t="s">
        <v>80</v>
      </c>
      <c r="M8" t="s">
        <v>81</v>
      </c>
      <c r="N8" s="12" t="s">
        <v>106</v>
      </c>
      <c r="O8" t="s">
        <v>97</v>
      </c>
      <c r="P8" t="s">
        <v>82</v>
      </c>
      <c r="Q8" t="s">
        <v>78</v>
      </c>
      <c r="R8" t="s">
        <v>80</v>
      </c>
      <c r="S8" t="s">
        <v>80</v>
      </c>
      <c r="T8" t="s">
        <v>91</v>
      </c>
      <c r="U8" s="12" t="s">
        <v>106</v>
      </c>
      <c r="V8" t="s">
        <v>97</v>
      </c>
      <c r="W8" t="s">
        <v>82</v>
      </c>
      <c r="X8" t="s">
        <v>78</v>
      </c>
      <c r="Y8" t="s">
        <v>79</v>
      </c>
      <c r="Z8" t="s">
        <v>87</v>
      </c>
      <c r="AA8" t="s">
        <v>81</v>
      </c>
      <c r="AB8" s="12" t="s">
        <v>106</v>
      </c>
      <c r="AC8">
        <v>7</v>
      </c>
      <c r="AD8">
        <v>1</v>
      </c>
      <c r="AE8">
        <v>7</v>
      </c>
      <c r="AF8">
        <v>7</v>
      </c>
      <c r="AG8" s="12" t="s">
        <v>106</v>
      </c>
      <c r="AH8">
        <v>5</v>
      </c>
      <c r="AI8">
        <v>5</v>
      </c>
      <c r="AJ8">
        <v>3</v>
      </c>
      <c r="AK8">
        <v>2</v>
      </c>
      <c r="AL8" s="12" t="s">
        <v>106</v>
      </c>
      <c r="AM8">
        <v>6</v>
      </c>
      <c r="AN8">
        <v>2</v>
      </c>
      <c r="AO8">
        <v>5</v>
      </c>
      <c r="AP8">
        <v>6</v>
      </c>
    </row>
    <row r="9" spans="1:42" x14ac:dyDescent="0.25">
      <c r="A9">
        <v>13</v>
      </c>
      <c r="B9">
        <v>25</v>
      </c>
      <c r="C9">
        <v>5</v>
      </c>
      <c r="D9" t="s">
        <v>92</v>
      </c>
      <c r="E9" t="s">
        <v>98</v>
      </c>
      <c r="F9" t="s">
        <v>75</v>
      </c>
      <c r="G9" s="12" t="s">
        <v>106</v>
      </c>
      <c r="H9" t="s">
        <v>99</v>
      </c>
      <c r="I9" t="s">
        <v>78</v>
      </c>
      <c r="J9" t="s">
        <v>78</v>
      </c>
      <c r="K9" t="s">
        <v>79</v>
      </c>
      <c r="L9" t="s">
        <v>100</v>
      </c>
      <c r="M9" t="s">
        <v>81</v>
      </c>
      <c r="N9" s="12" t="s">
        <v>106</v>
      </c>
      <c r="O9" t="s">
        <v>77</v>
      </c>
      <c r="P9" t="s">
        <v>78</v>
      </c>
      <c r="Q9" t="s">
        <v>78</v>
      </c>
      <c r="R9" t="s">
        <v>83</v>
      </c>
      <c r="S9" t="s">
        <v>101</v>
      </c>
      <c r="T9" t="s">
        <v>91</v>
      </c>
      <c r="U9" s="12" t="s">
        <v>106</v>
      </c>
      <c r="V9" t="s">
        <v>77</v>
      </c>
      <c r="W9" t="s">
        <v>78</v>
      </c>
      <c r="X9" t="s">
        <v>78</v>
      </c>
      <c r="Y9" t="s">
        <v>79</v>
      </c>
      <c r="Z9" t="s">
        <v>80</v>
      </c>
      <c r="AA9" t="s">
        <v>81</v>
      </c>
      <c r="AB9" s="12" t="s">
        <v>106</v>
      </c>
      <c r="AC9">
        <v>7</v>
      </c>
      <c r="AD9">
        <v>7</v>
      </c>
      <c r="AE9">
        <v>2</v>
      </c>
      <c r="AF9">
        <v>7</v>
      </c>
      <c r="AG9" s="12" t="s">
        <v>106</v>
      </c>
      <c r="AH9">
        <v>7</v>
      </c>
      <c r="AI9">
        <v>1</v>
      </c>
      <c r="AJ9">
        <v>6</v>
      </c>
      <c r="AK9">
        <v>7</v>
      </c>
      <c r="AL9" s="12" t="s">
        <v>106</v>
      </c>
      <c r="AM9">
        <v>7</v>
      </c>
      <c r="AN9">
        <v>1</v>
      </c>
      <c r="AO9">
        <v>7</v>
      </c>
      <c r="AP9">
        <v>7</v>
      </c>
    </row>
    <row r="10" spans="1:42" x14ac:dyDescent="0.25">
      <c r="A10">
        <v>15</v>
      </c>
      <c r="B10">
        <v>27</v>
      </c>
      <c r="C10">
        <v>1</v>
      </c>
      <c r="D10" t="s">
        <v>73</v>
      </c>
      <c r="E10" t="s">
        <v>102</v>
      </c>
      <c r="F10" t="s">
        <v>103</v>
      </c>
      <c r="G10" s="12" t="s">
        <v>106</v>
      </c>
      <c r="H10" t="s">
        <v>99</v>
      </c>
      <c r="I10" t="s">
        <v>78</v>
      </c>
      <c r="J10" t="s">
        <v>78</v>
      </c>
      <c r="K10" t="s">
        <v>79</v>
      </c>
      <c r="L10" t="s">
        <v>87</v>
      </c>
      <c r="M10" t="s">
        <v>81</v>
      </c>
      <c r="N10" s="12" t="s">
        <v>106</v>
      </c>
      <c r="O10" t="s">
        <v>97</v>
      </c>
      <c r="P10" t="s">
        <v>97</v>
      </c>
      <c r="Q10" t="s">
        <v>77</v>
      </c>
      <c r="R10" t="s">
        <v>83</v>
      </c>
      <c r="S10" t="s">
        <v>80</v>
      </c>
      <c r="T10" t="s">
        <v>91</v>
      </c>
      <c r="U10" s="12" t="s">
        <v>106</v>
      </c>
      <c r="V10" t="s">
        <v>86</v>
      </c>
      <c r="W10" t="s">
        <v>82</v>
      </c>
      <c r="X10" t="s">
        <v>77</v>
      </c>
      <c r="Y10" t="s">
        <v>79</v>
      </c>
      <c r="Z10" t="s">
        <v>87</v>
      </c>
      <c r="AA10" t="s">
        <v>81</v>
      </c>
      <c r="AB10" s="12" t="s">
        <v>106</v>
      </c>
      <c r="AC10">
        <v>5</v>
      </c>
      <c r="AD10">
        <v>4</v>
      </c>
      <c r="AE10">
        <v>4</v>
      </c>
      <c r="AF10">
        <v>6</v>
      </c>
      <c r="AG10" s="12" t="s">
        <v>106</v>
      </c>
      <c r="AH10">
        <v>6</v>
      </c>
      <c r="AI10">
        <v>4</v>
      </c>
      <c r="AJ10">
        <v>4</v>
      </c>
      <c r="AK10">
        <v>3</v>
      </c>
      <c r="AL10" s="12" t="s">
        <v>106</v>
      </c>
      <c r="AM10">
        <v>7</v>
      </c>
      <c r="AN10">
        <v>4</v>
      </c>
      <c r="AO10">
        <v>4</v>
      </c>
      <c r="AP10">
        <v>1</v>
      </c>
    </row>
    <row r="11" spans="1:42" x14ac:dyDescent="0.25">
      <c r="A11">
        <v>17</v>
      </c>
      <c r="B11">
        <v>29</v>
      </c>
      <c r="C11">
        <v>5</v>
      </c>
      <c r="D11" t="s">
        <v>92</v>
      </c>
      <c r="E11" t="s">
        <v>74</v>
      </c>
      <c r="F11" t="s">
        <v>75</v>
      </c>
      <c r="G11" s="12" t="s">
        <v>106</v>
      </c>
      <c r="H11" t="s">
        <v>93</v>
      </c>
      <c r="I11" t="s">
        <v>82</v>
      </c>
      <c r="J11" t="s">
        <v>78</v>
      </c>
      <c r="K11" t="s">
        <v>79</v>
      </c>
      <c r="L11" t="s">
        <v>80</v>
      </c>
      <c r="M11" t="s">
        <v>81</v>
      </c>
      <c r="N11" s="12" t="s">
        <v>106</v>
      </c>
      <c r="O11" t="s">
        <v>82</v>
      </c>
      <c r="P11" t="s">
        <v>77</v>
      </c>
      <c r="Q11" t="s">
        <v>78</v>
      </c>
      <c r="R11" t="s">
        <v>83</v>
      </c>
      <c r="S11" t="s">
        <v>101</v>
      </c>
      <c r="T11" t="s">
        <v>91</v>
      </c>
      <c r="U11" s="12" t="s">
        <v>106</v>
      </c>
      <c r="V11" t="s">
        <v>82</v>
      </c>
      <c r="W11" t="s">
        <v>77</v>
      </c>
      <c r="X11" t="s">
        <v>78</v>
      </c>
      <c r="Y11" t="s">
        <v>79</v>
      </c>
      <c r="Z11" t="s">
        <v>87</v>
      </c>
      <c r="AA11" t="s">
        <v>81</v>
      </c>
      <c r="AB11" s="12" t="s">
        <v>106</v>
      </c>
      <c r="AC11">
        <v>6</v>
      </c>
      <c r="AD11">
        <v>7</v>
      </c>
      <c r="AE11">
        <v>5</v>
      </c>
      <c r="AF11">
        <v>7</v>
      </c>
      <c r="AG11" s="12" t="s">
        <v>106</v>
      </c>
      <c r="AH11">
        <v>7</v>
      </c>
      <c r="AI11">
        <v>1</v>
      </c>
      <c r="AJ11">
        <v>7</v>
      </c>
      <c r="AK11">
        <v>7</v>
      </c>
      <c r="AL11" s="12" t="s">
        <v>106</v>
      </c>
      <c r="AM11">
        <v>7</v>
      </c>
      <c r="AN11">
        <v>1</v>
      </c>
      <c r="AO11">
        <v>7</v>
      </c>
      <c r="AP11">
        <v>7</v>
      </c>
    </row>
    <row r="12" spans="1:42" x14ac:dyDescent="0.25">
      <c r="A12">
        <v>19</v>
      </c>
      <c r="B12">
        <v>27</v>
      </c>
      <c r="C12">
        <v>2</v>
      </c>
      <c r="D12" t="s">
        <v>92</v>
      </c>
      <c r="E12" t="s">
        <v>98</v>
      </c>
      <c r="F12" t="s">
        <v>75</v>
      </c>
      <c r="G12" s="12" t="s">
        <v>106</v>
      </c>
      <c r="H12" t="s">
        <v>93</v>
      </c>
      <c r="I12" t="s">
        <v>77</v>
      </c>
      <c r="J12" t="s">
        <v>78</v>
      </c>
      <c r="K12" t="s">
        <v>79</v>
      </c>
      <c r="L12" t="s">
        <v>87</v>
      </c>
      <c r="M12" t="s">
        <v>81</v>
      </c>
      <c r="N12" s="12" t="s">
        <v>106</v>
      </c>
      <c r="O12" t="s">
        <v>82</v>
      </c>
      <c r="P12" t="s">
        <v>77</v>
      </c>
      <c r="Q12" t="s">
        <v>78</v>
      </c>
      <c r="R12" t="s">
        <v>83</v>
      </c>
      <c r="S12" t="s">
        <v>80</v>
      </c>
      <c r="T12" t="s">
        <v>91</v>
      </c>
      <c r="U12" s="12" t="s">
        <v>106</v>
      </c>
      <c r="V12" t="s">
        <v>82</v>
      </c>
      <c r="W12" t="s">
        <v>77</v>
      </c>
      <c r="X12" t="s">
        <v>78</v>
      </c>
      <c r="Y12" t="s">
        <v>79</v>
      </c>
      <c r="Z12" t="s">
        <v>87</v>
      </c>
      <c r="AA12" t="s">
        <v>81</v>
      </c>
      <c r="AB12" s="12" t="s">
        <v>106</v>
      </c>
      <c r="AC12">
        <v>3</v>
      </c>
      <c r="AD12">
        <v>6</v>
      </c>
      <c r="AE12">
        <v>2</v>
      </c>
      <c r="AF12">
        <v>7</v>
      </c>
      <c r="AG12" s="12" t="s">
        <v>106</v>
      </c>
      <c r="AH12">
        <v>5</v>
      </c>
      <c r="AI12">
        <v>1</v>
      </c>
      <c r="AJ12">
        <v>4</v>
      </c>
      <c r="AK12">
        <v>7</v>
      </c>
      <c r="AL12" s="12" t="s">
        <v>106</v>
      </c>
      <c r="AM12">
        <v>5</v>
      </c>
      <c r="AN12">
        <v>1</v>
      </c>
      <c r="AO12">
        <v>3</v>
      </c>
      <c r="AP12">
        <v>7</v>
      </c>
    </row>
    <row r="13" spans="1:42" x14ac:dyDescent="0.25">
      <c r="A13">
        <v>23</v>
      </c>
      <c r="B13">
        <v>33</v>
      </c>
      <c r="C13">
        <v>1</v>
      </c>
      <c r="D13" t="s">
        <v>73</v>
      </c>
      <c r="E13" t="s">
        <v>96</v>
      </c>
      <c r="F13" t="s">
        <v>75</v>
      </c>
      <c r="G13" s="12" t="s">
        <v>106</v>
      </c>
      <c r="H13" t="s">
        <v>99</v>
      </c>
      <c r="I13" t="s">
        <v>82</v>
      </c>
      <c r="J13" t="s">
        <v>78</v>
      </c>
      <c r="K13" t="s">
        <v>79</v>
      </c>
      <c r="L13" t="s">
        <v>87</v>
      </c>
      <c r="M13" t="s">
        <v>80</v>
      </c>
      <c r="N13" s="12" t="s">
        <v>106</v>
      </c>
      <c r="O13" t="s">
        <v>77</v>
      </c>
      <c r="P13" t="s">
        <v>82</v>
      </c>
      <c r="Q13" t="s">
        <v>78</v>
      </c>
      <c r="R13" t="s">
        <v>83</v>
      </c>
      <c r="S13" t="s">
        <v>101</v>
      </c>
      <c r="T13" t="s">
        <v>91</v>
      </c>
      <c r="U13" s="12" t="s">
        <v>106</v>
      </c>
      <c r="V13" t="s">
        <v>97</v>
      </c>
      <c r="W13" t="s">
        <v>77</v>
      </c>
      <c r="X13" t="s">
        <v>78</v>
      </c>
      <c r="Y13" t="s">
        <v>79</v>
      </c>
      <c r="Z13" t="s">
        <v>87</v>
      </c>
      <c r="AA13" t="s">
        <v>80</v>
      </c>
      <c r="AB13" s="12" t="s">
        <v>106</v>
      </c>
      <c r="AC13">
        <v>7</v>
      </c>
      <c r="AD13">
        <v>7</v>
      </c>
      <c r="AE13">
        <v>4</v>
      </c>
      <c r="AF13">
        <v>7</v>
      </c>
      <c r="AG13" s="12" t="s">
        <v>106</v>
      </c>
      <c r="AH13">
        <v>6</v>
      </c>
      <c r="AI13">
        <v>4</v>
      </c>
      <c r="AJ13">
        <v>3</v>
      </c>
      <c r="AK13">
        <v>7</v>
      </c>
      <c r="AL13" s="12" t="s">
        <v>106</v>
      </c>
      <c r="AM13">
        <v>7</v>
      </c>
      <c r="AN13">
        <v>1</v>
      </c>
      <c r="AO13">
        <v>7</v>
      </c>
      <c r="AP13">
        <v>7</v>
      </c>
    </row>
    <row r="14" spans="1:42" x14ac:dyDescent="0.25">
      <c r="A14">
        <v>26</v>
      </c>
      <c r="B14">
        <v>32</v>
      </c>
      <c r="C14">
        <v>3</v>
      </c>
      <c r="D14" t="s">
        <v>92</v>
      </c>
      <c r="E14" t="s">
        <v>74</v>
      </c>
      <c r="F14" t="s">
        <v>75</v>
      </c>
      <c r="G14" s="12" t="s">
        <v>106</v>
      </c>
      <c r="H14" t="s">
        <v>99</v>
      </c>
      <c r="I14" t="s">
        <v>78</v>
      </c>
      <c r="J14" t="s">
        <v>78</v>
      </c>
      <c r="K14" t="s">
        <v>79</v>
      </c>
      <c r="L14" t="s">
        <v>87</v>
      </c>
      <c r="M14" t="s">
        <v>81</v>
      </c>
      <c r="N14" s="12" t="s">
        <v>106</v>
      </c>
      <c r="O14" t="s">
        <v>97</v>
      </c>
      <c r="P14" t="s">
        <v>82</v>
      </c>
      <c r="Q14" t="s">
        <v>78</v>
      </c>
      <c r="R14" t="s">
        <v>83</v>
      </c>
      <c r="S14" t="s">
        <v>101</v>
      </c>
      <c r="T14" t="s">
        <v>91</v>
      </c>
      <c r="U14" s="12" t="s">
        <v>106</v>
      </c>
      <c r="V14" t="s">
        <v>97</v>
      </c>
      <c r="W14" t="s">
        <v>77</v>
      </c>
      <c r="X14" t="s">
        <v>78</v>
      </c>
      <c r="Y14" t="s">
        <v>79</v>
      </c>
      <c r="Z14" t="s">
        <v>87</v>
      </c>
      <c r="AA14" t="s">
        <v>81</v>
      </c>
      <c r="AB14" s="12" t="s">
        <v>106</v>
      </c>
      <c r="AC14">
        <v>2</v>
      </c>
      <c r="AD14">
        <v>7</v>
      </c>
      <c r="AE14">
        <v>3</v>
      </c>
      <c r="AF14">
        <v>4</v>
      </c>
      <c r="AG14" s="12" t="s">
        <v>106</v>
      </c>
      <c r="AH14">
        <v>7</v>
      </c>
      <c r="AI14">
        <v>2</v>
      </c>
      <c r="AJ14">
        <v>7</v>
      </c>
      <c r="AK14">
        <v>5</v>
      </c>
      <c r="AL14" s="12" t="s">
        <v>106</v>
      </c>
      <c r="AM14">
        <v>7</v>
      </c>
      <c r="AN14">
        <v>1</v>
      </c>
      <c r="AO14">
        <v>7</v>
      </c>
      <c r="AP14">
        <v>3</v>
      </c>
    </row>
    <row r="15" spans="1:42" x14ac:dyDescent="0.25">
      <c r="A15">
        <v>27</v>
      </c>
      <c r="B15">
        <v>25</v>
      </c>
      <c r="C15">
        <v>5</v>
      </c>
      <c r="D15" t="s">
        <v>92</v>
      </c>
      <c r="E15" t="s">
        <v>96</v>
      </c>
      <c r="F15" t="s">
        <v>75</v>
      </c>
      <c r="G15" s="12" t="s">
        <v>106</v>
      </c>
      <c r="H15" t="s">
        <v>93</v>
      </c>
      <c r="I15" t="s">
        <v>78</v>
      </c>
      <c r="J15" t="s">
        <v>78</v>
      </c>
      <c r="K15" t="s">
        <v>79</v>
      </c>
      <c r="L15" t="s">
        <v>87</v>
      </c>
      <c r="M15" t="s">
        <v>81</v>
      </c>
      <c r="N15" s="12" t="s">
        <v>106</v>
      </c>
      <c r="O15" t="s">
        <v>97</v>
      </c>
      <c r="P15" t="s">
        <v>78</v>
      </c>
      <c r="Q15" t="s">
        <v>78</v>
      </c>
      <c r="R15" t="s">
        <v>83</v>
      </c>
      <c r="S15" t="s">
        <v>84</v>
      </c>
      <c r="T15" t="s">
        <v>91</v>
      </c>
      <c r="U15" s="12" t="s">
        <v>106</v>
      </c>
      <c r="V15" t="s">
        <v>97</v>
      </c>
      <c r="W15" t="s">
        <v>78</v>
      </c>
      <c r="X15" t="s">
        <v>78</v>
      </c>
      <c r="Y15" t="s">
        <v>79</v>
      </c>
      <c r="Z15" t="s">
        <v>87</v>
      </c>
      <c r="AA15" t="s">
        <v>85</v>
      </c>
      <c r="AB15" s="12" t="s">
        <v>106</v>
      </c>
      <c r="AC15">
        <v>4</v>
      </c>
      <c r="AD15">
        <v>7</v>
      </c>
      <c r="AE15">
        <v>1</v>
      </c>
      <c r="AF15">
        <v>2</v>
      </c>
      <c r="AG15" s="12" t="s">
        <v>106</v>
      </c>
      <c r="AH15">
        <v>2</v>
      </c>
      <c r="AI15">
        <v>3</v>
      </c>
      <c r="AJ15">
        <v>7</v>
      </c>
      <c r="AK15">
        <v>2</v>
      </c>
      <c r="AL15" s="12" t="s">
        <v>106</v>
      </c>
      <c r="AM15">
        <v>7</v>
      </c>
      <c r="AN15">
        <v>6</v>
      </c>
      <c r="AO15">
        <v>6</v>
      </c>
      <c r="AP15">
        <v>5</v>
      </c>
    </row>
    <row r="16" spans="1:42" x14ac:dyDescent="0.25">
      <c r="A16">
        <v>28</v>
      </c>
      <c r="B16">
        <v>30</v>
      </c>
      <c r="C16">
        <v>5</v>
      </c>
      <c r="D16" t="s">
        <v>92</v>
      </c>
      <c r="E16" t="s">
        <v>88</v>
      </c>
      <c r="F16" t="s">
        <v>75</v>
      </c>
      <c r="G16" s="12" t="s">
        <v>106</v>
      </c>
      <c r="H16" t="s">
        <v>93</v>
      </c>
      <c r="I16" t="s">
        <v>77</v>
      </c>
      <c r="J16" t="s">
        <v>78</v>
      </c>
      <c r="K16" t="s">
        <v>79</v>
      </c>
      <c r="L16" t="s">
        <v>87</v>
      </c>
      <c r="M16" t="s">
        <v>81</v>
      </c>
      <c r="N16" s="12" t="s">
        <v>106</v>
      </c>
      <c r="O16" t="s">
        <v>82</v>
      </c>
      <c r="P16" t="s">
        <v>77</v>
      </c>
      <c r="Q16" t="s">
        <v>78</v>
      </c>
      <c r="R16" t="s">
        <v>83</v>
      </c>
      <c r="S16" t="s">
        <v>80</v>
      </c>
      <c r="T16" t="s">
        <v>91</v>
      </c>
      <c r="U16" s="12" t="s">
        <v>106</v>
      </c>
      <c r="V16" t="s">
        <v>82</v>
      </c>
      <c r="W16" t="s">
        <v>77</v>
      </c>
      <c r="X16" t="s">
        <v>78</v>
      </c>
      <c r="Y16" t="s">
        <v>79</v>
      </c>
      <c r="Z16" t="s">
        <v>87</v>
      </c>
      <c r="AA16" t="s">
        <v>81</v>
      </c>
      <c r="AB16" s="12" t="s">
        <v>106</v>
      </c>
      <c r="AC16">
        <v>3</v>
      </c>
      <c r="AD16">
        <v>7</v>
      </c>
      <c r="AE16">
        <v>4</v>
      </c>
      <c r="AF16">
        <v>1</v>
      </c>
      <c r="AG16" s="12" t="s">
        <v>106</v>
      </c>
      <c r="AH16">
        <v>7</v>
      </c>
      <c r="AI16">
        <v>1</v>
      </c>
      <c r="AJ16">
        <v>7</v>
      </c>
      <c r="AK16">
        <v>7</v>
      </c>
      <c r="AL16" s="12" t="s">
        <v>106</v>
      </c>
      <c r="AM16">
        <v>5</v>
      </c>
      <c r="AN16">
        <v>1</v>
      </c>
      <c r="AO16">
        <v>5</v>
      </c>
      <c r="AP16">
        <v>1</v>
      </c>
    </row>
    <row r="17" spans="1:42" x14ac:dyDescent="0.25">
      <c r="A17">
        <v>29</v>
      </c>
      <c r="B17">
        <v>47</v>
      </c>
      <c r="C17">
        <v>4</v>
      </c>
      <c r="D17" t="s">
        <v>92</v>
      </c>
      <c r="E17" t="s">
        <v>74</v>
      </c>
      <c r="F17" t="s">
        <v>89</v>
      </c>
      <c r="G17" s="12" t="s">
        <v>106</v>
      </c>
      <c r="H17" t="s">
        <v>90</v>
      </c>
      <c r="I17" t="s">
        <v>82</v>
      </c>
      <c r="J17" t="s">
        <v>78</v>
      </c>
      <c r="K17" t="s">
        <v>79</v>
      </c>
      <c r="L17" t="s">
        <v>87</v>
      </c>
      <c r="M17" t="s">
        <v>81</v>
      </c>
      <c r="N17" s="12" t="s">
        <v>106</v>
      </c>
      <c r="O17" t="s">
        <v>97</v>
      </c>
      <c r="P17" t="s">
        <v>82</v>
      </c>
      <c r="Q17" t="s">
        <v>77</v>
      </c>
      <c r="R17" t="s">
        <v>83</v>
      </c>
      <c r="S17" t="s">
        <v>84</v>
      </c>
      <c r="T17" t="s">
        <v>91</v>
      </c>
      <c r="U17" s="12" t="s">
        <v>106</v>
      </c>
      <c r="V17" t="s">
        <v>82</v>
      </c>
      <c r="W17" t="s">
        <v>82</v>
      </c>
      <c r="X17" t="s">
        <v>78</v>
      </c>
      <c r="Y17" t="s">
        <v>79</v>
      </c>
      <c r="Z17" t="s">
        <v>87</v>
      </c>
      <c r="AA17" t="s">
        <v>81</v>
      </c>
      <c r="AB17" s="12" t="s">
        <v>106</v>
      </c>
      <c r="AC17">
        <v>7</v>
      </c>
      <c r="AD17">
        <v>1</v>
      </c>
      <c r="AE17">
        <v>7</v>
      </c>
      <c r="AF17">
        <v>1</v>
      </c>
      <c r="AG17" s="12" t="s">
        <v>106</v>
      </c>
      <c r="AH17">
        <v>7</v>
      </c>
      <c r="AI17">
        <v>1</v>
      </c>
      <c r="AJ17">
        <v>7</v>
      </c>
      <c r="AK17">
        <v>7</v>
      </c>
      <c r="AL17" s="12" t="s">
        <v>106</v>
      </c>
      <c r="AM17">
        <v>7</v>
      </c>
      <c r="AN17">
        <v>1</v>
      </c>
      <c r="AO17">
        <v>7</v>
      </c>
      <c r="AP17">
        <v>1</v>
      </c>
    </row>
    <row r="18" spans="1:42" x14ac:dyDescent="0.25">
      <c r="A18">
        <v>31</v>
      </c>
      <c r="B18">
        <v>25</v>
      </c>
      <c r="C18">
        <v>5</v>
      </c>
      <c r="D18" t="s">
        <v>73</v>
      </c>
      <c r="E18" t="s">
        <v>98</v>
      </c>
      <c r="F18" t="s">
        <v>89</v>
      </c>
      <c r="G18" s="12" t="s">
        <v>106</v>
      </c>
      <c r="H18" t="s">
        <v>90</v>
      </c>
      <c r="I18" t="s">
        <v>82</v>
      </c>
      <c r="J18" t="s">
        <v>78</v>
      </c>
      <c r="K18" t="s">
        <v>79</v>
      </c>
      <c r="L18" t="s">
        <v>87</v>
      </c>
      <c r="M18" t="s">
        <v>81</v>
      </c>
      <c r="N18" s="12" t="s">
        <v>106</v>
      </c>
      <c r="O18" t="s">
        <v>86</v>
      </c>
      <c r="P18" t="s">
        <v>82</v>
      </c>
      <c r="Q18" t="s">
        <v>78</v>
      </c>
      <c r="R18" t="s">
        <v>83</v>
      </c>
      <c r="S18" t="s">
        <v>84</v>
      </c>
      <c r="T18" t="s">
        <v>91</v>
      </c>
      <c r="U18" s="12" t="s">
        <v>106</v>
      </c>
      <c r="V18" t="s">
        <v>86</v>
      </c>
      <c r="W18" t="s">
        <v>77</v>
      </c>
      <c r="X18" t="s">
        <v>78</v>
      </c>
      <c r="Y18" t="s">
        <v>79</v>
      </c>
      <c r="Z18" t="s">
        <v>87</v>
      </c>
      <c r="AA18" t="s">
        <v>81</v>
      </c>
      <c r="AB18" s="12" t="s">
        <v>106</v>
      </c>
      <c r="AC18">
        <v>7</v>
      </c>
      <c r="AD18">
        <v>1</v>
      </c>
      <c r="AE18">
        <v>6</v>
      </c>
      <c r="AF18">
        <v>7</v>
      </c>
      <c r="AG18" s="12" t="s">
        <v>106</v>
      </c>
      <c r="AH18">
        <v>6</v>
      </c>
      <c r="AI18">
        <v>4</v>
      </c>
      <c r="AJ18">
        <v>4</v>
      </c>
      <c r="AK18">
        <v>7</v>
      </c>
      <c r="AL18" s="12" t="s">
        <v>106</v>
      </c>
      <c r="AM18">
        <v>7</v>
      </c>
      <c r="AN18">
        <v>1</v>
      </c>
      <c r="AO18">
        <v>7</v>
      </c>
      <c r="AP18">
        <v>7</v>
      </c>
    </row>
    <row r="19" spans="1:42" x14ac:dyDescent="0.25">
      <c r="A19">
        <v>32</v>
      </c>
      <c r="B19">
        <v>22</v>
      </c>
      <c r="C19">
        <v>5</v>
      </c>
      <c r="D19" t="s">
        <v>73</v>
      </c>
      <c r="E19" t="s">
        <v>98</v>
      </c>
      <c r="F19" t="s">
        <v>89</v>
      </c>
      <c r="G19" s="12" t="s">
        <v>106</v>
      </c>
      <c r="H19" t="s">
        <v>99</v>
      </c>
      <c r="I19" t="s">
        <v>78</v>
      </c>
      <c r="J19" t="s">
        <v>82</v>
      </c>
      <c r="K19" t="s">
        <v>79</v>
      </c>
      <c r="L19" t="s">
        <v>80</v>
      </c>
      <c r="M19" t="s">
        <v>81</v>
      </c>
      <c r="N19" s="12" t="s">
        <v>106</v>
      </c>
      <c r="O19" t="s">
        <v>82</v>
      </c>
      <c r="P19" t="s">
        <v>97</v>
      </c>
      <c r="Q19" t="s">
        <v>78</v>
      </c>
      <c r="R19" t="s">
        <v>83</v>
      </c>
      <c r="S19" t="s">
        <v>101</v>
      </c>
      <c r="T19" t="s">
        <v>91</v>
      </c>
      <c r="U19" s="12" t="s">
        <v>106</v>
      </c>
      <c r="V19" t="s">
        <v>82</v>
      </c>
      <c r="W19" t="s">
        <v>77</v>
      </c>
      <c r="X19" t="s">
        <v>78</v>
      </c>
      <c r="Y19" t="s">
        <v>79</v>
      </c>
      <c r="Z19" t="s">
        <v>80</v>
      </c>
      <c r="AA19" t="s">
        <v>81</v>
      </c>
      <c r="AB19" s="12" t="s">
        <v>106</v>
      </c>
      <c r="AC19">
        <v>7</v>
      </c>
      <c r="AD19">
        <v>1</v>
      </c>
      <c r="AE19">
        <v>6</v>
      </c>
      <c r="AF19">
        <v>7</v>
      </c>
      <c r="AG19" s="12" t="s">
        <v>106</v>
      </c>
      <c r="AH19">
        <v>7</v>
      </c>
      <c r="AI19">
        <v>2</v>
      </c>
      <c r="AJ19">
        <v>5</v>
      </c>
      <c r="AK19">
        <v>6</v>
      </c>
      <c r="AL19" s="12" t="s">
        <v>106</v>
      </c>
      <c r="AM19">
        <v>7</v>
      </c>
      <c r="AN19">
        <v>1</v>
      </c>
      <c r="AO19">
        <v>7</v>
      </c>
      <c r="AP19">
        <v>7</v>
      </c>
    </row>
    <row r="20" spans="1:42" x14ac:dyDescent="0.25">
      <c r="A20">
        <v>36</v>
      </c>
      <c r="B20">
        <v>24</v>
      </c>
      <c r="C20">
        <v>5</v>
      </c>
      <c r="D20" t="s">
        <v>73</v>
      </c>
      <c r="E20" t="s">
        <v>88</v>
      </c>
      <c r="F20" t="s">
        <v>89</v>
      </c>
      <c r="G20" s="12" t="s">
        <v>106</v>
      </c>
      <c r="H20" t="s">
        <v>93</v>
      </c>
      <c r="I20" t="s">
        <v>77</v>
      </c>
      <c r="J20" t="s">
        <v>78</v>
      </c>
      <c r="K20" t="s">
        <v>79</v>
      </c>
      <c r="L20" t="s">
        <v>87</v>
      </c>
      <c r="M20" t="s">
        <v>81</v>
      </c>
      <c r="N20" s="12" t="s">
        <v>106</v>
      </c>
      <c r="O20" t="s">
        <v>97</v>
      </c>
      <c r="P20" t="s">
        <v>77</v>
      </c>
      <c r="Q20" t="s">
        <v>78</v>
      </c>
      <c r="R20" t="s">
        <v>83</v>
      </c>
      <c r="S20" t="s">
        <v>84</v>
      </c>
      <c r="T20" t="s">
        <v>95</v>
      </c>
      <c r="U20" s="12" t="s">
        <v>106</v>
      </c>
      <c r="V20" t="s">
        <v>82</v>
      </c>
      <c r="W20" t="s">
        <v>77</v>
      </c>
      <c r="X20" t="s">
        <v>78</v>
      </c>
      <c r="Y20" t="s">
        <v>79</v>
      </c>
      <c r="Z20" t="s">
        <v>87</v>
      </c>
      <c r="AA20" t="s">
        <v>80</v>
      </c>
      <c r="AB20" s="12" t="s">
        <v>106</v>
      </c>
      <c r="AC20">
        <v>6</v>
      </c>
      <c r="AD20">
        <v>7</v>
      </c>
      <c r="AE20">
        <v>2</v>
      </c>
      <c r="AF20">
        <v>7</v>
      </c>
      <c r="AG20" s="12" t="s">
        <v>106</v>
      </c>
      <c r="AH20">
        <v>7</v>
      </c>
      <c r="AI20">
        <v>1</v>
      </c>
      <c r="AJ20">
        <v>7</v>
      </c>
      <c r="AK20">
        <v>7</v>
      </c>
      <c r="AL20" s="12" t="s">
        <v>106</v>
      </c>
      <c r="AM20">
        <v>6</v>
      </c>
      <c r="AN20">
        <v>2</v>
      </c>
      <c r="AO20">
        <v>5</v>
      </c>
      <c r="AP20">
        <v>7</v>
      </c>
    </row>
    <row r="21" spans="1:42" x14ac:dyDescent="0.25">
      <c r="A21">
        <v>37</v>
      </c>
      <c r="B21">
        <v>27</v>
      </c>
      <c r="C21">
        <v>5</v>
      </c>
      <c r="D21" t="s">
        <v>92</v>
      </c>
      <c r="E21" t="s">
        <v>74</v>
      </c>
      <c r="F21" t="s">
        <v>75</v>
      </c>
      <c r="G21" s="12" t="s">
        <v>106</v>
      </c>
      <c r="H21" t="s">
        <v>90</v>
      </c>
      <c r="I21" t="s">
        <v>77</v>
      </c>
      <c r="J21" t="s">
        <v>78</v>
      </c>
      <c r="K21" t="s">
        <v>79</v>
      </c>
      <c r="L21" t="s">
        <v>87</v>
      </c>
      <c r="M21" t="s">
        <v>81</v>
      </c>
      <c r="N21" s="12" t="s">
        <v>106</v>
      </c>
      <c r="O21" t="s">
        <v>97</v>
      </c>
      <c r="P21" t="s">
        <v>77</v>
      </c>
      <c r="Q21" t="s">
        <v>78</v>
      </c>
      <c r="R21" t="s">
        <v>83</v>
      </c>
      <c r="S21" t="s">
        <v>101</v>
      </c>
      <c r="T21" t="s">
        <v>91</v>
      </c>
      <c r="U21" s="12" t="s">
        <v>106</v>
      </c>
      <c r="V21" t="s">
        <v>97</v>
      </c>
      <c r="W21" t="s">
        <v>77</v>
      </c>
      <c r="X21" t="s">
        <v>78</v>
      </c>
      <c r="Y21" t="s">
        <v>79</v>
      </c>
      <c r="Z21" t="s">
        <v>87</v>
      </c>
      <c r="AA21" t="s">
        <v>81</v>
      </c>
      <c r="AB21" s="12" t="s">
        <v>106</v>
      </c>
      <c r="AC21">
        <v>7</v>
      </c>
      <c r="AD21">
        <v>7</v>
      </c>
      <c r="AE21">
        <v>6</v>
      </c>
      <c r="AF21">
        <v>7</v>
      </c>
      <c r="AG21" s="12" t="s">
        <v>106</v>
      </c>
      <c r="AH21">
        <v>7</v>
      </c>
      <c r="AI21">
        <v>1</v>
      </c>
      <c r="AJ21">
        <v>6</v>
      </c>
      <c r="AK21">
        <v>7</v>
      </c>
      <c r="AL21" s="12" t="s">
        <v>106</v>
      </c>
      <c r="AM21">
        <v>7</v>
      </c>
      <c r="AN21">
        <v>1</v>
      </c>
      <c r="AO21">
        <v>6</v>
      </c>
      <c r="AP21">
        <v>7</v>
      </c>
    </row>
    <row r="22" spans="1:42" x14ac:dyDescent="0.25">
      <c r="A22">
        <v>38</v>
      </c>
      <c r="B22">
        <v>26</v>
      </c>
      <c r="C22">
        <v>1</v>
      </c>
      <c r="D22" t="s">
        <v>73</v>
      </c>
      <c r="E22" t="s">
        <v>98</v>
      </c>
      <c r="F22" t="s">
        <v>103</v>
      </c>
      <c r="G22" s="12" t="s">
        <v>106</v>
      </c>
      <c r="H22" t="s">
        <v>93</v>
      </c>
      <c r="I22" t="s">
        <v>77</v>
      </c>
      <c r="J22" t="s">
        <v>78</v>
      </c>
      <c r="K22" t="s">
        <v>79</v>
      </c>
      <c r="L22" t="s">
        <v>87</v>
      </c>
      <c r="M22" t="s">
        <v>81</v>
      </c>
      <c r="N22" s="12" t="s">
        <v>106</v>
      </c>
      <c r="O22" t="s">
        <v>77</v>
      </c>
      <c r="P22" t="s">
        <v>82</v>
      </c>
      <c r="Q22" t="s">
        <v>78</v>
      </c>
      <c r="R22" t="s">
        <v>83</v>
      </c>
      <c r="S22" t="s">
        <v>84</v>
      </c>
      <c r="T22" t="s">
        <v>91</v>
      </c>
      <c r="U22" s="12" t="s">
        <v>106</v>
      </c>
      <c r="V22" t="s">
        <v>77</v>
      </c>
      <c r="W22" t="s">
        <v>82</v>
      </c>
      <c r="X22" t="s">
        <v>78</v>
      </c>
      <c r="Y22" t="s">
        <v>79</v>
      </c>
      <c r="Z22" t="s">
        <v>87</v>
      </c>
      <c r="AA22" t="s">
        <v>81</v>
      </c>
      <c r="AB22" s="12" t="s">
        <v>106</v>
      </c>
      <c r="AC22">
        <v>3</v>
      </c>
      <c r="AD22">
        <v>6</v>
      </c>
      <c r="AE22">
        <v>2</v>
      </c>
      <c r="AF22">
        <v>5</v>
      </c>
      <c r="AG22" s="12" t="s">
        <v>106</v>
      </c>
      <c r="AH22">
        <v>6</v>
      </c>
      <c r="AI22">
        <v>5</v>
      </c>
      <c r="AJ22">
        <v>3</v>
      </c>
      <c r="AK22">
        <v>1</v>
      </c>
      <c r="AL22" s="12" t="s">
        <v>106</v>
      </c>
      <c r="AM22">
        <v>7</v>
      </c>
      <c r="AN22">
        <v>1</v>
      </c>
      <c r="AO22">
        <v>5</v>
      </c>
      <c r="AP22">
        <v>1</v>
      </c>
    </row>
    <row r="23" spans="1:42" x14ac:dyDescent="0.25">
      <c r="A23">
        <v>39</v>
      </c>
      <c r="B23">
        <v>25</v>
      </c>
      <c r="C23">
        <v>5</v>
      </c>
      <c r="D23" t="s">
        <v>73</v>
      </c>
      <c r="E23" t="s">
        <v>74</v>
      </c>
      <c r="F23" t="s">
        <v>89</v>
      </c>
      <c r="G23" s="12" t="s">
        <v>106</v>
      </c>
      <c r="H23" t="s">
        <v>90</v>
      </c>
      <c r="I23" t="s">
        <v>78</v>
      </c>
      <c r="J23" t="s">
        <v>78</v>
      </c>
      <c r="K23" t="s">
        <v>80</v>
      </c>
      <c r="L23" t="s">
        <v>87</v>
      </c>
      <c r="M23" t="s">
        <v>81</v>
      </c>
      <c r="N23" s="12" t="s">
        <v>106</v>
      </c>
      <c r="O23" t="s">
        <v>82</v>
      </c>
      <c r="P23" t="s">
        <v>77</v>
      </c>
      <c r="Q23" t="s">
        <v>78</v>
      </c>
      <c r="R23" t="s">
        <v>104</v>
      </c>
      <c r="S23" t="s">
        <v>104</v>
      </c>
      <c r="T23" t="s">
        <v>85</v>
      </c>
      <c r="U23" s="12" t="s">
        <v>106</v>
      </c>
      <c r="V23" t="s">
        <v>105</v>
      </c>
      <c r="W23" t="s">
        <v>105</v>
      </c>
      <c r="X23" t="s">
        <v>78</v>
      </c>
      <c r="Y23" t="s">
        <v>79</v>
      </c>
      <c r="Z23" t="s">
        <v>80</v>
      </c>
      <c r="AA23" t="s">
        <v>81</v>
      </c>
      <c r="AB23" s="12" t="s">
        <v>106</v>
      </c>
      <c r="AC23">
        <v>6</v>
      </c>
      <c r="AD23">
        <v>4</v>
      </c>
      <c r="AE23">
        <v>5</v>
      </c>
      <c r="AF23">
        <v>7</v>
      </c>
      <c r="AG23" s="12" t="s">
        <v>106</v>
      </c>
      <c r="AH23">
        <v>5</v>
      </c>
      <c r="AI23">
        <v>2</v>
      </c>
      <c r="AJ23">
        <v>5</v>
      </c>
      <c r="AK23">
        <v>7</v>
      </c>
      <c r="AL23" s="12" t="s">
        <v>106</v>
      </c>
      <c r="AM23">
        <v>6</v>
      </c>
      <c r="AN23">
        <v>1</v>
      </c>
      <c r="AO23">
        <v>6</v>
      </c>
      <c r="AP23">
        <v>7</v>
      </c>
    </row>
  </sheetData>
  <pageMargins left="0.7" right="0.7" top="0.78740157499999996" bottom="0.78740157499999996" header="0.3" footer="0.3"/>
</worksheet>
</file>

<file path=docMetadata/LabelInfo.xml><?xml version="1.0" encoding="utf-8"?>
<clbl:labelList xmlns:clbl="http://schemas.microsoft.com/office/2020/mipLabelMetadata">
  <clbl:label id="{defa4170-0d19-0005-0004-bc88714345d2}" enabled="1" method="Standard" siteId="{4f455e02-c0f5-4dd7-8284-c5649166197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Tabelle2</vt:lpstr>
      <vt:lpstr>Auswertung_Umfrage_V2</vt:lpstr>
      <vt:lpstr>utility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Enis Inep</dc:creator>
  <cp:lastModifiedBy>Inep, Enis</cp:lastModifiedBy>
  <dcterms:created xsi:type="dcterms:W3CDTF">2025-12-20T17:19:15Z</dcterms:created>
  <dcterms:modified xsi:type="dcterms:W3CDTF">2025-12-30T00:26:06Z</dcterms:modified>
</cp:coreProperties>
</file>